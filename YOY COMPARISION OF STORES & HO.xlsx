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RAJA BHAIYA REPORTS\Christmas LY-CY\Christmas Dashboard\"/>
    </mc:Choice>
  </mc:AlternateContent>
  <bookViews>
    <workbookView xWindow="240" yWindow="120" windowWidth="14940" windowHeight="9228"/>
  </bookViews>
  <sheets>
    <sheet name="YOY – Like-to-Like Stores (LFL)" sheetId="1" r:id="rId1"/>
    <sheet name="YOY OF HO" sheetId="4" r:id="rId2"/>
    <sheet name="Closed Stores" sheetId="2" r:id="rId3"/>
    <sheet name="New Stores" sheetId="3" r:id="rId4"/>
  </sheets>
  <definedNames>
    <definedName name="_xlnm._FilterDatabase" localSheetId="0" hidden="1">'YOY – Like-to-Like Stores (LFL)'!$A$1:$G$139</definedName>
  </definedNames>
  <calcPr calcId="162913"/>
</workbook>
</file>

<file path=xl/calcChain.xml><?xml version="1.0" encoding="utf-8"?>
<calcChain xmlns="http://schemas.openxmlformats.org/spreadsheetml/2006/main">
  <c r="G74" i="1" l="1"/>
  <c r="G75" i="1"/>
  <c r="G76" i="1"/>
  <c r="G77" i="1"/>
  <c r="G78" i="1"/>
  <c r="G79" i="1"/>
  <c r="G7" i="4"/>
  <c r="F7" i="4"/>
  <c r="E7" i="4"/>
  <c r="D7" i="4"/>
  <c r="C7" i="4"/>
  <c r="G6" i="4"/>
  <c r="G5" i="4"/>
  <c r="G4" i="4"/>
  <c r="G3" i="4"/>
  <c r="G2" i="4"/>
  <c r="D32" i="3" l="1"/>
  <c r="C32" i="3"/>
  <c r="D14" i="2"/>
  <c r="C14" i="2"/>
  <c r="G46" i="1"/>
  <c r="G47" i="1"/>
  <c r="G48" i="1"/>
  <c r="G49" i="1"/>
  <c r="G50" i="1"/>
  <c r="G51" i="1"/>
  <c r="G52" i="1"/>
  <c r="G53" i="1"/>
  <c r="G54" i="1"/>
  <c r="G55" i="1"/>
  <c r="G62" i="1"/>
  <c r="G63" i="1"/>
  <c r="G64" i="1"/>
  <c r="G65" i="1"/>
  <c r="G66" i="1"/>
  <c r="G67" i="1"/>
  <c r="G68" i="1"/>
  <c r="G69" i="1"/>
  <c r="G70" i="1"/>
  <c r="G71" i="1"/>
  <c r="G72" i="1"/>
  <c r="G73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56" i="1"/>
  <c r="G57" i="1"/>
  <c r="G58" i="1"/>
  <c r="G59" i="1"/>
  <c r="G60" i="1"/>
  <c r="G6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2" i="1"/>
</calcChain>
</file>

<file path=xl/sharedStrings.xml><?xml version="1.0" encoding="utf-8"?>
<sst xmlns="http://schemas.openxmlformats.org/spreadsheetml/2006/main" count="210" uniqueCount="41">
  <si>
    <t>Site</t>
  </si>
  <si>
    <t>Date</t>
  </si>
  <si>
    <t>AI FASHIONS - SURYAPET</t>
  </si>
  <si>
    <t>CITYMEN ARMUR (MENSCLUB)</t>
  </si>
  <si>
    <t>DIAMOND JUBILEE FASHIONS-NALGONDA</t>
  </si>
  <si>
    <t>ELITE FASHIONS-KOTHAGUDEM</t>
  </si>
  <si>
    <t>FASHION UNLIMITED -KODAD</t>
  </si>
  <si>
    <t>JAI AMBEY FASHIONS- CITYMEN MANCHERIAL</t>
  </si>
  <si>
    <t>M C FASHIONS BHADRACHALAM</t>
  </si>
  <si>
    <t>M/S GOPAL FASHIONS-SIDDIPET</t>
  </si>
  <si>
    <t>MARUTI FASHIONS-GODAVARIKHANI</t>
  </si>
  <si>
    <t>RAJ FASHIONS RETAIL LLP-BHUPALPALLY BRANCH</t>
  </si>
  <si>
    <t>RAJ FASHIONS RETAIL LLP-HNKCM</t>
  </si>
  <si>
    <t>RAJ FASHIONS RETAIL LLP-JADCHERLA-BRANCH</t>
  </si>
  <si>
    <t>RAJ FASHIONS RETAIL LLP-JPN ROAD BRANCH</t>
  </si>
  <si>
    <t>RAJ FASHIONS RETAIL LLP-M27 WARANGAL</t>
  </si>
  <si>
    <t>RAJ FASHIONS RETAIL LLP-MCHNK</t>
  </si>
  <si>
    <t>RAJ FASHIONS RETAIL LLP-NAGAKURNOOL</t>
  </si>
  <si>
    <t>RAJ FASHIONS RETAIL LLP-SHADNAGAR-BRANCH</t>
  </si>
  <si>
    <t>RAJ FASHIONS RETAIL LLP-SHAPOOR-BRANCH</t>
  </si>
  <si>
    <t>SAPNA SHOPPING MALL</t>
  </si>
  <si>
    <t>TRENDY NEST CLOTHING LLP-HUSNABAD</t>
  </si>
  <si>
    <t>TRENDY NEST CLOTHING LLP-JAMMIKUNTA</t>
  </si>
  <si>
    <t>TRENDY NEST CLOTHING LLP-NARSAMPET</t>
  </si>
  <si>
    <t>TRENDYNEST CLOTHING LLP - (MC MANUGUR)</t>
  </si>
  <si>
    <t>TRENDYNEST CLOTHING LLP-MAHABUBABAD</t>
  </si>
  <si>
    <t>Net Sale Amount - 2024</t>
  </si>
  <si>
    <t>Net Sale Amount - 2025</t>
  </si>
  <si>
    <t>Net Sale Qty
 - 2025</t>
  </si>
  <si>
    <t>Net Sale Qty
 - 2024</t>
  </si>
  <si>
    <t>Net Sale Qty - 2025</t>
  </si>
  <si>
    <t>Net Sale Qty - 2024</t>
  </si>
  <si>
    <t>Difference</t>
  </si>
  <si>
    <t>Raj Fashions Retail LLP - WAREHOUSE</t>
  </si>
  <si>
    <t>GRAND TOTAL</t>
  </si>
  <si>
    <t xml:space="preserve">MENS CLUB NIRMAL </t>
  </si>
  <si>
    <t>MENS CLUB BELLAMPALLY</t>
  </si>
  <si>
    <t>MENS CLUB TADAPELLIGUDEM</t>
  </si>
  <si>
    <t>MENS CLUB BHONGIR</t>
  </si>
  <si>
    <t>MENS CLUB SHANKARPALLY</t>
  </si>
  <si>
    <t>MENS CLUB KORUTLA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</si>
</sst>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NumberFormat="1"/>
    <xf numFmtId="3" fontId="0" fillId="0" borderId="1" xfId="0" applyNumberFormat="1" applyBorder="1"/>
    <xf numFmtId="0" fontId="0" fillId="2" borderId="1" xfId="0" applyNumberFormat="1" applyFont="1" applyFill="1" applyBorder="1" applyAlignment="1" applyProtection="1"/>
    <xf numFmtId="16" fontId="0" fillId="2" borderId="1" xfId="0" applyNumberFormat="1" applyFont="1" applyFill="1" applyBorder="1" applyAlignment="1" applyProtection="1"/>
    <xf numFmtId="3" fontId="0" fillId="2" borderId="1" xfId="0" applyNumberFormat="1" applyFont="1" applyFill="1" applyBorder="1" applyAlignment="1" applyProtection="1"/>
    <xf numFmtId="0" fontId="1" fillId="3" borderId="1" xfId="0" applyFont="1" applyFill="1" applyBorder="1"/>
    <xf numFmtId="0" fontId="0" fillId="5" borderId="1" xfId="0" applyNumberFormat="1" applyFont="1" applyFill="1" applyBorder="1" applyAlignment="1" applyProtection="1"/>
    <xf numFmtId="16" fontId="0" fillId="5" borderId="1" xfId="0" applyNumberFormat="1" applyFont="1" applyFill="1" applyBorder="1" applyAlignment="1" applyProtection="1"/>
    <xf numFmtId="3" fontId="0" fillId="5" borderId="1" xfId="0" applyNumberFormat="1" applyFont="1" applyFill="1" applyBorder="1" applyAlignment="1" applyProtection="1"/>
    <xf numFmtId="3" fontId="1" fillId="4" borderId="1" xfId="0" applyNumberFormat="1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/>
    <xf numFmtId="0" fontId="1" fillId="3" borderId="1" xfId="0" applyNumberFormat="1" applyFont="1" applyFill="1" applyBorder="1"/>
    <xf numFmtId="3" fontId="1" fillId="3" borderId="1" xfId="0" applyNumberFormat="1" applyFont="1" applyFill="1" applyBorder="1"/>
    <xf numFmtId="0" fontId="1" fillId="4" borderId="1" xfId="0" applyNumberFormat="1" applyFont="1" applyFill="1" applyBorder="1"/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"/>
  <sheetViews>
    <sheetView tabSelected="1" topLeftCell="A110" workbookViewId="0">
      <selection activeCell="G139" sqref="G139"/>
    </sheetView>
  </sheetViews>
  <sheetFormatPr defaultRowHeight="13.2" x14ac:dyDescent="0.25"/>
  <cols>
    <col min="1" max="1" width="47.109375" bestFit="1" customWidth="1"/>
    <col min="2" max="2" width="10.33203125" bestFit="1" customWidth="1"/>
    <col min="3" max="3" width="32" bestFit="1" customWidth="1"/>
    <col min="4" max="4" width="32.33203125" bestFit="1" customWidth="1"/>
    <col min="5" max="5" width="32" bestFit="1" customWidth="1"/>
    <col min="6" max="6" width="33.44140625" bestFit="1" customWidth="1"/>
    <col min="7" max="7" width="17.21875" customWidth="1"/>
  </cols>
  <sheetData>
    <row r="1" spans="1:7" x14ac:dyDescent="0.25">
      <c r="A1" s="11" t="s">
        <v>0</v>
      </c>
      <c r="B1" s="11" t="s">
        <v>1</v>
      </c>
      <c r="C1" s="12" t="s">
        <v>29</v>
      </c>
      <c r="D1" s="11" t="s">
        <v>26</v>
      </c>
      <c r="E1" s="12" t="s">
        <v>28</v>
      </c>
      <c r="F1" s="11" t="s">
        <v>27</v>
      </c>
      <c r="G1" s="11" t="s">
        <v>32</v>
      </c>
    </row>
    <row r="2" spans="1:7" x14ac:dyDescent="0.25">
      <c r="A2" s="3" t="s">
        <v>2</v>
      </c>
      <c r="B2" s="4">
        <v>46011</v>
      </c>
      <c r="C2" s="5">
        <v>77</v>
      </c>
      <c r="D2" s="5">
        <v>71397.19</v>
      </c>
      <c r="E2" s="5">
        <v>80</v>
      </c>
      <c r="F2" s="5">
        <v>62271.659999999996</v>
      </c>
      <c r="G2" s="2">
        <f t="shared" ref="G2:G33" si="0">F2-D2</f>
        <v>-9125.5300000000061</v>
      </c>
    </row>
    <row r="3" spans="1:7" x14ac:dyDescent="0.25">
      <c r="A3" s="3" t="s">
        <v>2</v>
      </c>
      <c r="B3" s="4">
        <v>46012</v>
      </c>
      <c r="C3" s="5">
        <v>133</v>
      </c>
      <c r="D3" s="5">
        <v>110953.07</v>
      </c>
      <c r="E3" s="5">
        <v>67</v>
      </c>
      <c r="F3" s="5">
        <v>49565.98</v>
      </c>
      <c r="G3" s="2">
        <f t="shared" si="0"/>
        <v>-61387.090000000004</v>
      </c>
    </row>
    <row r="4" spans="1:7" x14ac:dyDescent="0.25">
      <c r="A4" s="3" t="s">
        <v>2</v>
      </c>
      <c r="B4" s="4">
        <v>46013</v>
      </c>
      <c r="C4" s="5">
        <v>92</v>
      </c>
      <c r="D4" s="5">
        <v>84640.299999999988</v>
      </c>
      <c r="E4" s="5">
        <v>84</v>
      </c>
      <c r="F4" s="5">
        <v>63483.72</v>
      </c>
      <c r="G4" s="2">
        <f t="shared" si="0"/>
        <v>-21156.579999999987</v>
      </c>
    </row>
    <row r="5" spans="1:7" x14ac:dyDescent="0.25">
      <c r="A5" s="3" t="s">
        <v>2</v>
      </c>
      <c r="B5" s="4">
        <v>46014</v>
      </c>
      <c r="C5" s="5">
        <v>106</v>
      </c>
      <c r="D5" s="5">
        <v>93049.8</v>
      </c>
      <c r="E5" s="5">
        <v>138</v>
      </c>
      <c r="F5" s="5">
        <v>109708.53999999998</v>
      </c>
      <c r="G5" s="2">
        <f t="shared" si="0"/>
        <v>16658.739999999976</v>
      </c>
    </row>
    <row r="6" spans="1:7" x14ac:dyDescent="0.25">
      <c r="A6" s="3" t="s">
        <v>2</v>
      </c>
      <c r="B6" s="4">
        <v>46015</v>
      </c>
      <c r="C6" s="5">
        <v>191</v>
      </c>
      <c r="D6" s="5">
        <v>164286.22</v>
      </c>
      <c r="E6" s="5">
        <v>269</v>
      </c>
      <c r="F6" s="5">
        <v>212324.97999999998</v>
      </c>
      <c r="G6" s="2">
        <f t="shared" si="0"/>
        <v>48038.75999999998</v>
      </c>
    </row>
    <row r="7" spans="1:7" x14ac:dyDescent="0.25">
      <c r="A7" s="3" t="s">
        <v>2</v>
      </c>
      <c r="B7" s="4">
        <v>46016</v>
      </c>
      <c r="C7" s="5">
        <v>100</v>
      </c>
      <c r="D7" s="5">
        <v>87366.97</v>
      </c>
      <c r="E7" s="5">
        <v>87</v>
      </c>
      <c r="F7" s="5">
        <v>66566.900000000009</v>
      </c>
      <c r="G7" s="2">
        <f t="shared" si="0"/>
        <v>-20800.069999999992</v>
      </c>
    </row>
    <row r="8" spans="1:7" x14ac:dyDescent="0.25">
      <c r="A8" s="7" t="s">
        <v>3</v>
      </c>
      <c r="B8" s="8">
        <v>46011</v>
      </c>
      <c r="C8" s="9">
        <v>106</v>
      </c>
      <c r="D8" s="9">
        <v>92112.29</v>
      </c>
      <c r="E8" s="9">
        <v>95</v>
      </c>
      <c r="F8" s="9">
        <v>50003.299999999996</v>
      </c>
      <c r="G8" s="2">
        <f t="shared" si="0"/>
        <v>-42108.99</v>
      </c>
    </row>
    <row r="9" spans="1:7" x14ac:dyDescent="0.25">
      <c r="A9" s="7" t="s">
        <v>3</v>
      </c>
      <c r="B9" s="8">
        <v>46012</v>
      </c>
      <c r="C9" s="9">
        <v>151</v>
      </c>
      <c r="D9" s="9">
        <v>126094.36</v>
      </c>
      <c r="E9" s="9">
        <v>123</v>
      </c>
      <c r="F9" s="9">
        <v>76561.759999999995</v>
      </c>
      <c r="G9" s="2">
        <f t="shared" si="0"/>
        <v>-49532.600000000006</v>
      </c>
    </row>
    <row r="10" spans="1:7" x14ac:dyDescent="0.25">
      <c r="A10" s="7" t="s">
        <v>3</v>
      </c>
      <c r="B10" s="8">
        <v>46013</v>
      </c>
      <c r="C10" s="9">
        <v>135</v>
      </c>
      <c r="D10" s="9">
        <v>122257.76000000001</v>
      </c>
      <c r="E10" s="9">
        <v>147</v>
      </c>
      <c r="F10" s="9">
        <v>81079.679999999978</v>
      </c>
      <c r="G10" s="2">
        <f t="shared" si="0"/>
        <v>-41178.080000000031</v>
      </c>
    </row>
    <row r="11" spans="1:7" x14ac:dyDescent="0.25">
      <c r="A11" s="7" t="s">
        <v>3</v>
      </c>
      <c r="B11" s="8">
        <v>46014</v>
      </c>
      <c r="C11" s="9">
        <v>173</v>
      </c>
      <c r="D11" s="9">
        <v>158040.00999999998</v>
      </c>
      <c r="E11" s="9">
        <v>152</v>
      </c>
      <c r="F11" s="9">
        <v>86079.680000000008</v>
      </c>
      <c r="G11" s="2">
        <f t="shared" si="0"/>
        <v>-71960.329999999973</v>
      </c>
    </row>
    <row r="12" spans="1:7" x14ac:dyDescent="0.25">
      <c r="A12" s="7" t="s">
        <v>3</v>
      </c>
      <c r="B12" s="8">
        <v>46015</v>
      </c>
      <c r="C12" s="9">
        <v>240</v>
      </c>
      <c r="D12" s="9">
        <v>199325.08</v>
      </c>
      <c r="E12" s="9">
        <v>283</v>
      </c>
      <c r="F12" s="9">
        <v>161479.55999999997</v>
      </c>
      <c r="G12" s="2">
        <f t="shared" si="0"/>
        <v>-37845.520000000019</v>
      </c>
    </row>
    <row r="13" spans="1:7" x14ac:dyDescent="0.25">
      <c r="A13" s="7" t="s">
        <v>3</v>
      </c>
      <c r="B13" s="8">
        <v>46016</v>
      </c>
      <c r="C13" s="9">
        <v>86</v>
      </c>
      <c r="D13" s="9">
        <v>72687.790000000008</v>
      </c>
      <c r="E13" s="9">
        <v>74</v>
      </c>
      <c r="F13" s="9">
        <v>36688.259999999995</v>
      </c>
      <c r="G13" s="2">
        <f t="shared" si="0"/>
        <v>-35999.530000000013</v>
      </c>
    </row>
    <row r="14" spans="1:7" x14ac:dyDescent="0.25">
      <c r="A14" s="3" t="s">
        <v>4</v>
      </c>
      <c r="B14" s="4">
        <v>46011</v>
      </c>
      <c r="C14" s="5">
        <v>91</v>
      </c>
      <c r="D14" s="5">
        <v>76418.02</v>
      </c>
      <c r="E14" s="5">
        <v>84</v>
      </c>
      <c r="F14" s="5">
        <v>70271.06</v>
      </c>
      <c r="G14" s="2">
        <f t="shared" si="0"/>
        <v>-6146.9600000000064</v>
      </c>
    </row>
    <row r="15" spans="1:7" x14ac:dyDescent="0.25">
      <c r="A15" s="3" t="s">
        <v>4</v>
      </c>
      <c r="B15" s="4">
        <v>46012</v>
      </c>
      <c r="C15" s="5">
        <v>121</v>
      </c>
      <c r="D15" s="5">
        <v>107030.26000000001</v>
      </c>
      <c r="E15" s="5">
        <v>122</v>
      </c>
      <c r="F15" s="5">
        <v>110161.38</v>
      </c>
      <c r="G15" s="2">
        <f t="shared" si="0"/>
        <v>3131.1199999999953</v>
      </c>
    </row>
    <row r="16" spans="1:7" x14ac:dyDescent="0.25">
      <c r="A16" s="3" t="s">
        <v>4</v>
      </c>
      <c r="B16" s="4">
        <v>46013</v>
      </c>
      <c r="C16" s="5">
        <v>137</v>
      </c>
      <c r="D16" s="5">
        <v>104237.4</v>
      </c>
      <c r="E16" s="5">
        <v>81</v>
      </c>
      <c r="F16" s="5">
        <v>70109.16</v>
      </c>
      <c r="G16" s="2">
        <f t="shared" si="0"/>
        <v>-34128.239999999991</v>
      </c>
    </row>
    <row r="17" spans="1:7" x14ac:dyDescent="0.25">
      <c r="A17" s="3" t="s">
        <v>4</v>
      </c>
      <c r="B17" s="4">
        <v>46014</v>
      </c>
      <c r="C17" s="5">
        <v>104</v>
      </c>
      <c r="D17" s="5">
        <v>84892.440000000017</v>
      </c>
      <c r="E17" s="5">
        <v>104</v>
      </c>
      <c r="F17" s="5">
        <v>90087.87999999999</v>
      </c>
      <c r="G17" s="2">
        <f t="shared" si="0"/>
        <v>5195.4399999999732</v>
      </c>
    </row>
    <row r="18" spans="1:7" x14ac:dyDescent="0.25">
      <c r="A18" s="3" t="s">
        <v>4</v>
      </c>
      <c r="B18" s="4">
        <v>46015</v>
      </c>
      <c r="C18" s="5">
        <v>187</v>
      </c>
      <c r="D18" s="5">
        <v>157717.20000000001</v>
      </c>
      <c r="E18" s="5">
        <v>188</v>
      </c>
      <c r="F18" s="5">
        <v>167266.36000000002</v>
      </c>
      <c r="G18" s="2">
        <f t="shared" si="0"/>
        <v>9549.1600000000035</v>
      </c>
    </row>
    <row r="19" spans="1:7" x14ac:dyDescent="0.25">
      <c r="A19" s="3" t="s">
        <v>4</v>
      </c>
      <c r="B19" s="4">
        <v>46016</v>
      </c>
      <c r="C19" s="5">
        <v>75</v>
      </c>
      <c r="D19" s="5">
        <v>60655.75</v>
      </c>
      <c r="E19" s="5">
        <v>67</v>
      </c>
      <c r="F19" s="5">
        <v>54653.340000000011</v>
      </c>
      <c r="G19" s="2">
        <f t="shared" si="0"/>
        <v>-6002.4099999999889</v>
      </c>
    </row>
    <row r="20" spans="1:7" x14ac:dyDescent="0.25">
      <c r="A20" s="7" t="s">
        <v>6</v>
      </c>
      <c r="B20" s="8">
        <v>46011</v>
      </c>
      <c r="C20" s="9">
        <v>128</v>
      </c>
      <c r="D20" s="9">
        <v>98405.919999999984</v>
      </c>
      <c r="E20" s="9">
        <v>129</v>
      </c>
      <c r="F20" s="9">
        <v>99499.319999999992</v>
      </c>
      <c r="G20" s="2">
        <f t="shared" si="0"/>
        <v>1093.4000000000087</v>
      </c>
    </row>
    <row r="21" spans="1:7" x14ac:dyDescent="0.25">
      <c r="A21" s="7" t="s">
        <v>6</v>
      </c>
      <c r="B21" s="8">
        <v>46012</v>
      </c>
      <c r="C21" s="9">
        <v>122</v>
      </c>
      <c r="D21" s="9">
        <v>94991.299999999974</v>
      </c>
      <c r="E21" s="9">
        <v>131</v>
      </c>
      <c r="F21" s="9">
        <v>98690.799999999988</v>
      </c>
      <c r="G21" s="2">
        <f t="shared" si="0"/>
        <v>3699.5000000000146</v>
      </c>
    </row>
    <row r="22" spans="1:7" x14ac:dyDescent="0.25">
      <c r="A22" s="7" t="s">
        <v>6</v>
      </c>
      <c r="B22" s="8">
        <v>46013</v>
      </c>
      <c r="C22" s="9">
        <v>168</v>
      </c>
      <c r="D22" s="9">
        <v>144319.38</v>
      </c>
      <c r="E22" s="9">
        <v>106</v>
      </c>
      <c r="F22" s="9">
        <v>77384.639999999999</v>
      </c>
      <c r="G22" s="2">
        <f t="shared" si="0"/>
        <v>-66934.740000000005</v>
      </c>
    </row>
    <row r="23" spans="1:7" x14ac:dyDescent="0.25">
      <c r="A23" s="7" t="s">
        <v>6</v>
      </c>
      <c r="B23" s="8">
        <v>46014</v>
      </c>
      <c r="C23" s="9">
        <v>217</v>
      </c>
      <c r="D23" s="9">
        <v>161155.60000000003</v>
      </c>
      <c r="E23" s="9">
        <v>162</v>
      </c>
      <c r="F23" s="9">
        <v>125048.78000000001</v>
      </c>
      <c r="G23" s="2">
        <f t="shared" si="0"/>
        <v>-36106.820000000022</v>
      </c>
    </row>
    <row r="24" spans="1:7" x14ac:dyDescent="0.25">
      <c r="A24" s="7" t="s">
        <v>6</v>
      </c>
      <c r="B24" s="8">
        <v>46015</v>
      </c>
      <c r="C24" s="9">
        <v>279</v>
      </c>
      <c r="D24" s="9">
        <v>218850.52000000002</v>
      </c>
      <c r="E24" s="9">
        <v>231</v>
      </c>
      <c r="F24" s="9">
        <v>190066.21999999997</v>
      </c>
      <c r="G24" s="2">
        <f t="shared" si="0"/>
        <v>-28784.300000000047</v>
      </c>
    </row>
    <row r="25" spans="1:7" x14ac:dyDescent="0.25">
      <c r="A25" s="7" t="s">
        <v>6</v>
      </c>
      <c r="B25" s="8">
        <v>46016</v>
      </c>
      <c r="C25" s="9">
        <v>105</v>
      </c>
      <c r="D25" s="9">
        <v>82650.34</v>
      </c>
      <c r="E25" s="9">
        <v>67</v>
      </c>
      <c r="F25" s="9">
        <v>50173.680000000008</v>
      </c>
      <c r="G25" s="2">
        <f t="shared" si="0"/>
        <v>-32476.659999999989</v>
      </c>
    </row>
    <row r="26" spans="1:7" x14ac:dyDescent="0.25">
      <c r="A26" s="3" t="s">
        <v>7</v>
      </c>
      <c r="B26" s="4">
        <v>46011</v>
      </c>
      <c r="C26" s="5">
        <v>153</v>
      </c>
      <c r="D26" s="5">
        <v>129781.33999999998</v>
      </c>
      <c r="E26" s="5">
        <v>182</v>
      </c>
      <c r="F26" s="5">
        <v>143849.68000000002</v>
      </c>
      <c r="G26" s="2">
        <f t="shared" si="0"/>
        <v>14068.34000000004</v>
      </c>
    </row>
    <row r="27" spans="1:7" x14ac:dyDescent="0.25">
      <c r="A27" s="3" t="s">
        <v>7</v>
      </c>
      <c r="B27" s="4">
        <v>46012</v>
      </c>
      <c r="C27" s="5">
        <v>213</v>
      </c>
      <c r="D27" s="5">
        <v>204772.83000000005</v>
      </c>
      <c r="E27" s="5">
        <v>134</v>
      </c>
      <c r="F27" s="5">
        <v>134528.9</v>
      </c>
      <c r="G27" s="2">
        <f t="shared" si="0"/>
        <v>-70243.930000000051</v>
      </c>
    </row>
    <row r="28" spans="1:7" x14ac:dyDescent="0.25">
      <c r="A28" s="3" t="s">
        <v>7</v>
      </c>
      <c r="B28" s="4">
        <v>46013</v>
      </c>
      <c r="C28" s="5">
        <v>155</v>
      </c>
      <c r="D28" s="5">
        <v>151861.10000000003</v>
      </c>
      <c r="E28" s="5">
        <v>121</v>
      </c>
      <c r="F28" s="5">
        <v>98412.319999999992</v>
      </c>
      <c r="G28" s="2">
        <f t="shared" si="0"/>
        <v>-53448.780000000042</v>
      </c>
    </row>
    <row r="29" spans="1:7" x14ac:dyDescent="0.25">
      <c r="A29" s="3" t="s">
        <v>7</v>
      </c>
      <c r="B29" s="4">
        <v>46014</v>
      </c>
      <c r="C29" s="5">
        <v>225</v>
      </c>
      <c r="D29" s="5">
        <v>197303.33000000002</v>
      </c>
      <c r="E29" s="5">
        <v>225</v>
      </c>
      <c r="F29" s="5">
        <v>183424.79</v>
      </c>
      <c r="G29" s="2">
        <f t="shared" si="0"/>
        <v>-13878.540000000008</v>
      </c>
    </row>
    <row r="30" spans="1:7" x14ac:dyDescent="0.25">
      <c r="A30" s="3" t="s">
        <v>7</v>
      </c>
      <c r="B30" s="4">
        <v>46015</v>
      </c>
      <c r="C30" s="5">
        <v>449</v>
      </c>
      <c r="D30" s="5">
        <v>287761.28599999996</v>
      </c>
      <c r="E30" s="5">
        <v>289</v>
      </c>
      <c r="F30" s="5">
        <v>222494.37</v>
      </c>
      <c r="G30" s="2">
        <f t="shared" si="0"/>
        <v>-65266.915999999968</v>
      </c>
    </row>
    <row r="31" spans="1:7" x14ac:dyDescent="0.25">
      <c r="A31" s="3" t="s">
        <v>7</v>
      </c>
      <c r="B31" s="4">
        <v>46016</v>
      </c>
      <c r="C31" s="5">
        <v>95</v>
      </c>
      <c r="D31" s="5">
        <v>94033.03</v>
      </c>
      <c r="E31" s="5">
        <v>156</v>
      </c>
      <c r="F31" s="5">
        <v>108631.26</v>
      </c>
      <c r="G31" s="2">
        <f t="shared" si="0"/>
        <v>14598.229999999996</v>
      </c>
    </row>
    <row r="32" spans="1:7" x14ac:dyDescent="0.25">
      <c r="A32" s="7" t="s">
        <v>8</v>
      </c>
      <c r="B32" s="8">
        <v>46011</v>
      </c>
      <c r="C32" s="9">
        <v>260</v>
      </c>
      <c r="D32" s="9">
        <v>209361.77999999997</v>
      </c>
      <c r="E32" s="9">
        <v>215</v>
      </c>
      <c r="F32" s="9">
        <v>166379.77000000002</v>
      </c>
      <c r="G32" s="2">
        <f t="shared" si="0"/>
        <v>-42982.009999999951</v>
      </c>
    </row>
    <row r="33" spans="1:7" x14ac:dyDescent="0.25">
      <c r="A33" s="7" t="s">
        <v>8</v>
      </c>
      <c r="B33" s="8">
        <v>46012</v>
      </c>
      <c r="C33" s="9">
        <v>296</v>
      </c>
      <c r="D33" s="9">
        <v>234509.54000000004</v>
      </c>
      <c r="E33" s="9">
        <v>188</v>
      </c>
      <c r="F33" s="9">
        <v>151663.40000000002</v>
      </c>
      <c r="G33" s="2">
        <f t="shared" si="0"/>
        <v>-82846.140000000014</v>
      </c>
    </row>
    <row r="34" spans="1:7" x14ac:dyDescent="0.25">
      <c r="A34" s="7" t="s">
        <v>8</v>
      </c>
      <c r="B34" s="8">
        <v>46013</v>
      </c>
      <c r="C34" s="9">
        <v>200</v>
      </c>
      <c r="D34" s="9">
        <v>163464.26</v>
      </c>
      <c r="E34" s="9">
        <v>263</v>
      </c>
      <c r="F34" s="9">
        <v>247795.541</v>
      </c>
      <c r="G34" s="2">
        <f t="shared" ref="G34:G65" si="1">F34-D34</f>
        <v>84331.280999999988</v>
      </c>
    </row>
    <row r="35" spans="1:7" x14ac:dyDescent="0.25">
      <c r="A35" s="7" t="s">
        <v>8</v>
      </c>
      <c r="B35" s="8">
        <v>46014</v>
      </c>
      <c r="C35" s="9">
        <v>496</v>
      </c>
      <c r="D35" s="9">
        <v>408733.7</v>
      </c>
      <c r="E35" s="9">
        <v>388</v>
      </c>
      <c r="F35" s="9">
        <v>294080.70200000005</v>
      </c>
      <c r="G35" s="2">
        <f t="shared" si="1"/>
        <v>-114652.99799999996</v>
      </c>
    </row>
    <row r="36" spans="1:7" x14ac:dyDescent="0.25">
      <c r="A36" s="7" t="s">
        <v>8</v>
      </c>
      <c r="B36" s="8">
        <v>46015</v>
      </c>
      <c r="C36" s="9">
        <v>467</v>
      </c>
      <c r="D36" s="9">
        <v>380361.86000000004</v>
      </c>
      <c r="E36" s="9">
        <v>409</v>
      </c>
      <c r="F36" s="9">
        <v>325534.61999999994</v>
      </c>
      <c r="G36" s="2">
        <f t="shared" si="1"/>
        <v>-54827.240000000107</v>
      </c>
    </row>
    <row r="37" spans="1:7" x14ac:dyDescent="0.25">
      <c r="A37" s="7" t="s">
        <v>8</v>
      </c>
      <c r="B37" s="8">
        <v>46016</v>
      </c>
      <c r="C37" s="9">
        <v>145</v>
      </c>
      <c r="D37" s="9">
        <v>114136.46000000002</v>
      </c>
      <c r="E37" s="9">
        <v>184</v>
      </c>
      <c r="F37" s="9">
        <v>147038.90000000002</v>
      </c>
      <c r="G37" s="2">
        <f t="shared" si="1"/>
        <v>32902.44</v>
      </c>
    </row>
    <row r="38" spans="1:7" x14ac:dyDescent="0.25">
      <c r="A38" s="3" t="s">
        <v>40</v>
      </c>
      <c r="B38" s="4">
        <v>46011</v>
      </c>
      <c r="C38" s="5">
        <v>103</v>
      </c>
      <c r="D38" s="5">
        <v>83495.399999999994</v>
      </c>
      <c r="E38" s="5">
        <v>51</v>
      </c>
      <c r="F38" s="5">
        <v>29447.739999999994</v>
      </c>
      <c r="G38" s="2">
        <f t="shared" si="1"/>
        <v>-54047.66</v>
      </c>
    </row>
    <row r="39" spans="1:7" x14ac:dyDescent="0.25">
      <c r="A39" s="3" t="s">
        <v>40</v>
      </c>
      <c r="B39" s="4">
        <v>46012</v>
      </c>
      <c r="C39" s="5">
        <v>88</v>
      </c>
      <c r="D39" s="5">
        <v>70078.559999999998</v>
      </c>
      <c r="E39" s="5">
        <v>46</v>
      </c>
      <c r="F39" s="5">
        <v>28865.160000000003</v>
      </c>
      <c r="G39" s="2">
        <f t="shared" si="1"/>
        <v>-41213.399999999994</v>
      </c>
    </row>
    <row r="40" spans="1:7" x14ac:dyDescent="0.25">
      <c r="A40" s="3" t="s">
        <v>40</v>
      </c>
      <c r="B40" s="4">
        <v>46013</v>
      </c>
      <c r="C40" s="5">
        <v>37</v>
      </c>
      <c r="D40" s="5">
        <v>29525.190000000002</v>
      </c>
      <c r="E40" s="5">
        <v>73</v>
      </c>
      <c r="F40" s="5">
        <v>54171.919999999984</v>
      </c>
      <c r="G40" s="2">
        <f t="shared" si="1"/>
        <v>24646.729999999981</v>
      </c>
    </row>
    <row r="41" spans="1:7" x14ac:dyDescent="0.25">
      <c r="A41" s="3" t="s">
        <v>40</v>
      </c>
      <c r="B41" s="4">
        <v>46014</v>
      </c>
      <c r="C41" s="5">
        <v>64</v>
      </c>
      <c r="D41" s="5">
        <v>53953</v>
      </c>
      <c r="E41" s="5">
        <v>74</v>
      </c>
      <c r="F41" s="5">
        <v>48117.4</v>
      </c>
      <c r="G41" s="2">
        <f t="shared" si="1"/>
        <v>-5835.5999999999985</v>
      </c>
    </row>
    <row r="42" spans="1:7" x14ac:dyDescent="0.25">
      <c r="A42" s="3" t="s">
        <v>40</v>
      </c>
      <c r="B42" s="4">
        <v>46015</v>
      </c>
      <c r="C42" s="5">
        <v>112</v>
      </c>
      <c r="D42" s="5">
        <v>104525.45999999999</v>
      </c>
      <c r="E42" s="5">
        <v>177</v>
      </c>
      <c r="F42" s="5">
        <v>110195.91999999995</v>
      </c>
      <c r="G42" s="2">
        <f t="shared" si="1"/>
        <v>5670.4599999999627</v>
      </c>
    </row>
    <row r="43" spans="1:7" x14ac:dyDescent="0.25">
      <c r="A43" s="3" t="s">
        <v>40</v>
      </c>
      <c r="B43" s="4">
        <v>46016</v>
      </c>
      <c r="C43" s="5">
        <v>39</v>
      </c>
      <c r="D43" s="5">
        <v>30571.68</v>
      </c>
      <c r="E43" s="5">
        <v>93</v>
      </c>
      <c r="F43" s="5">
        <v>52980.56</v>
      </c>
      <c r="G43" s="2">
        <f t="shared" si="1"/>
        <v>22408.879999999997</v>
      </c>
    </row>
    <row r="44" spans="1:7" x14ac:dyDescent="0.25">
      <c r="A44" s="7" t="s">
        <v>10</v>
      </c>
      <c r="B44" s="8">
        <v>46011</v>
      </c>
      <c r="C44" s="9">
        <v>158</v>
      </c>
      <c r="D44" s="9">
        <v>133233.43999999997</v>
      </c>
      <c r="E44" s="9">
        <v>44</v>
      </c>
      <c r="F44" s="9">
        <v>23402.46</v>
      </c>
      <c r="G44" s="2">
        <f t="shared" si="1"/>
        <v>-109830.97999999998</v>
      </c>
    </row>
    <row r="45" spans="1:7" x14ac:dyDescent="0.25">
      <c r="A45" s="7" t="s">
        <v>10</v>
      </c>
      <c r="B45" s="8">
        <v>46012</v>
      </c>
      <c r="C45" s="9">
        <v>154</v>
      </c>
      <c r="D45" s="9">
        <v>109734.30899999998</v>
      </c>
      <c r="E45" s="9">
        <v>39</v>
      </c>
      <c r="F45" s="9">
        <v>25946.18</v>
      </c>
      <c r="G45" s="2">
        <f t="shared" si="1"/>
        <v>-83788.128999999986</v>
      </c>
    </row>
    <row r="46" spans="1:7" x14ac:dyDescent="0.25">
      <c r="A46" s="7" t="s">
        <v>10</v>
      </c>
      <c r="B46" s="8">
        <v>46013</v>
      </c>
      <c r="C46" s="9">
        <v>231</v>
      </c>
      <c r="D46" s="9">
        <v>186405.78</v>
      </c>
      <c r="E46" s="9">
        <v>0</v>
      </c>
      <c r="F46" s="9">
        <v>0</v>
      </c>
      <c r="G46" s="2">
        <f t="shared" si="1"/>
        <v>-186405.78</v>
      </c>
    </row>
    <row r="47" spans="1:7" x14ac:dyDescent="0.25">
      <c r="A47" s="7" t="s">
        <v>10</v>
      </c>
      <c r="B47" s="8">
        <v>46014</v>
      </c>
      <c r="C47" s="9">
        <v>176</v>
      </c>
      <c r="D47" s="9">
        <v>136906</v>
      </c>
      <c r="E47" s="9">
        <v>61</v>
      </c>
      <c r="F47" s="9">
        <v>33628.21</v>
      </c>
      <c r="G47" s="2">
        <f t="shared" si="1"/>
        <v>-103277.79000000001</v>
      </c>
    </row>
    <row r="48" spans="1:7" x14ac:dyDescent="0.25">
      <c r="A48" s="7" t="s">
        <v>10</v>
      </c>
      <c r="B48" s="8">
        <v>46015</v>
      </c>
      <c r="C48" s="9">
        <v>280</v>
      </c>
      <c r="D48" s="9">
        <v>239565.93999999997</v>
      </c>
      <c r="E48" s="9">
        <v>24</v>
      </c>
      <c r="F48" s="9">
        <v>14228.239999999998</v>
      </c>
      <c r="G48" s="2">
        <f t="shared" si="1"/>
        <v>-225337.69999999998</v>
      </c>
    </row>
    <row r="49" spans="1:7" x14ac:dyDescent="0.25">
      <c r="A49" s="7" t="s">
        <v>10</v>
      </c>
      <c r="B49" s="8">
        <v>46016</v>
      </c>
      <c r="C49" s="9">
        <v>134</v>
      </c>
      <c r="D49" s="9">
        <v>87858.579999999987</v>
      </c>
      <c r="E49" s="9">
        <v>35</v>
      </c>
      <c r="F49" s="9">
        <v>15710.498999999998</v>
      </c>
      <c r="G49" s="2">
        <f t="shared" si="1"/>
        <v>-72148.080999999991</v>
      </c>
    </row>
    <row r="50" spans="1:7" x14ac:dyDescent="0.25">
      <c r="A50" s="3" t="s">
        <v>39</v>
      </c>
      <c r="B50" s="4">
        <v>46011</v>
      </c>
      <c r="C50" s="5">
        <v>38</v>
      </c>
      <c r="D50" s="5">
        <v>22290.28</v>
      </c>
      <c r="E50" s="5">
        <v>36</v>
      </c>
      <c r="F50" s="5">
        <v>22382.880000000001</v>
      </c>
      <c r="G50" s="2">
        <f t="shared" si="1"/>
        <v>92.600000000002183</v>
      </c>
    </row>
    <row r="51" spans="1:7" x14ac:dyDescent="0.25">
      <c r="A51" s="3" t="s">
        <v>39</v>
      </c>
      <c r="B51" s="4">
        <v>46012</v>
      </c>
      <c r="C51" s="5">
        <v>24</v>
      </c>
      <c r="D51" s="5">
        <v>17815.32</v>
      </c>
      <c r="E51" s="5">
        <v>54</v>
      </c>
      <c r="F51" s="5">
        <v>36303.440000000002</v>
      </c>
      <c r="G51" s="2">
        <f t="shared" si="1"/>
        <v>18488.120000000003</v>
      </c>
    </row>
    <row r="52" spans="1:7" x14ac:dyDescent="0.25">
      <c r="A52" s="3" t="s">
        <v>39</v>
      </c>
      <c r="B52" s="4">
        <v>46013</v>
      </c>
      <c r="C52" s="5">
        <v>53</v>
      </c>
      <c r="D52" s="5">
        <v>40434.42</v>
      </c>
      <c r="E52" s="5">
        <v>52</v>
      </c>
      <c r="F52" s="5">
        <v>31627.22</v>
      </c>
      <c r="G52" s="2">
        <f t="shared" si="1"/>
        <v>-8807.1999999999971</v>
      </c>
    </row>
    <row r="53" spans="1:7" x14ac:dyDescent="0.25">
      <c r="A53" s="3" t="s">
        <v>39</v>
      </c>
      <c r="B53" s="4">
        <v>46014</v>
      </c>
      <c r="C53" s="5">
        <v>61</v>
      </c>
      <c r="D53" s="5">
        <v>42491.7</v>
      </c>
      <c r="E53" s="5">
        <v>22</v>
      </c>
      <c r="F53" s="5">
        <v>12424.18</v>
      </c>
      <c r="G53" s="2">
        <f t="shared" si="1"/>
        <v>-30067.519999999997</v>
      </c>
    </row>
    <row r="54" spans="1:7" x14ac:dyDescent="0.25">
      <c r="A54" s="3" t="s">
        <v>39</v>
      </c>
      <c r="B54" s="4">
        <v>46015</v>
      </c>
      <c r="C54" s="5">
        <v>50</v>
      </c>
      <c r="D54" s="5">
        <v>35752.101000000002</v>
      </c>
      <c r="E54" s="5">
        <v>98</v>
      </c>
      <c r="F54" s="5">
        <v>66978.239000000001</v>
      </c>
      <c r="G54" s="2">
        <f t="shared" si="1"/>
        <v>31226.137999999999</v>
      </c>
    </row>
    <row r="55" spans="1:7" x14ac:dyDescent="0.25">
      <c r="A55" s="3" t="s">
        <v>39</v>
      </c>
      <c r="B55" s="4">
        <v>46016</v>
      </c>
      <c r="C55" s="5">
        <v>56</v>
      </c>
      <c r="D55" s="5">
        <v>35875.25</v>
      </c>
      <c r="E55" s="5">
        <v>53</v>
      </c>
      <c r="F55" s="5">
        <v>34240.35</v>
      </c>
      <c r="G55" s="2">
        <f t="shared" si="1"/>
        <v>-1634.9000000000015</v>
      </c>
    </row>
    <row r="56" spans="1:7" x14ac:dyDescent="0.25">
      <c r="A56" s="7" t="s">
        <v>38</v>
      </c>
      <c r="B56" s="8">
        <v>46011</v>
      </c>
      <c r="C56" s="9">
        <v>77</v>
      </c>
      <c r="D56" s="9">
        <v>57621.179999999993</v>
      </c>
      <c r="E56" s="9">
        <v>68</v>
      </c>
      <c r="F56" s="9">
        <v>40544.879999999997</v>
      </c>
      <c r="G56" s="2">
        <f t="shared" si="1"/>
        <v>-17076.299999999996</v>
      </c>
    </row>
    <row r="57" spans="1:7" x14ac:dyDescent="0.25">
      <c r="A57" s="7" t="s">
        <v>38</v>
      </c>
      <c r="B57" s="8">
        <v>46012</v>
      </c>
      <c r="C57" s="9">
        <v>56</v>
      </c>
      <c r="D57" s="9">
        <v>41373.939999999995</v>
      </c>
      <c r="E57" s="9">
        <v>54</v>
      </c>
      <c r="F57" s="9">
        <v>36782.840000000004</v>
      </c>
      <c r="G57" s="2">
        <f t="shared" si="1"/>
        <v>-4591.0999999999913</v>
      </c>
    </row>
    <row r="58" spans="1:7" x14ac:dyDescent="0.25">
      <c r="A58" s="7" t="s">
        <v>38</v>
      </c>
      <c r="B58" s="8">
        <v>46013</v>
      </c>
      <c r="C58" s="9">
        <v>96</v>
      </c>
      <c r="D58" s="9">
        <v>71270.36</v>
      </c>
      <c r="E58" s="9">
        <v>71</v>
      </c>
      <c r="F58" s="9">
        <v>46317.06</v>
      </c>
      <c r="G58" s="2">
        <f t="shared" si="1"/>
        <v>-24953.300000000003</v>
      </c>
    </row>
    <row r="59" spans="1:7" x14ac:dyDescent="0.25">
      <c r="A59" s="7" t="s">
        <v>38</v>
      </c>
      <c r="B59" s="8">
        <v>46014</v>
      </c>
      <c r="C59" s="9">
        <v>54</v>
      </c>
      <c r="D59" s="9">
        <v>36710.1</v>
      </c>
      <c r="E59" s="9">
        <v>88</v>
      </c>
      <c r="F59" s="9">
        <v>59922.78</v>
      </c>
      <c r="G59" s="2">
        <f t="shared" si="1"/>
        <v>23212.68</v>
      </c>
    </row>
    <row r="60" spans="1:7" x14ac:dyDescent="0.25">
      <c r="A60" s="7" t="s">
        <v>38</v>
      </c>
      <c r="B60" s="8">
        <v>46015</v>
      </c>
      <c r="C60" s="9">
        <v>87</v>
      </c>
      <c r="D60" s="9">
        <v>69579.87999999999</v>
      </c>
      <c r="E60" s="9">
        <v>69</v>
      </c>
      <c r="F60" s="9">
        <v>49185.479999999989</v>
      </c>
      <c r="G60" s="2">
        <f t="shared" si="1"/>
        <v>-20394.400000000001</v>
      </c>
    </row>
    <row r="61" spans="1:7" x14ac:dyDescent="0.25">
      <c r="A61" s="7" t="s">
        <v>38</v>
      </c>
      <c r="B61" s="8">
        <v>46016</v>
      </c>
      <c r="C61" s="9">
        <v>32</v>
      </c>
      <c r="D61" s="9">
        <v>25441.260000000002</v>
      </c>
      <c r="E61" s="9">
        <v>59</v>
      </c>
      <c r="F61" s="9">
        <v>33583.299999999996</v>
      </c>
      <c r="G61" s="2">
        <f t="shared" si="1"/>
        <v>8142.0399999999936</v>
      </c>
    </row>
    <row r="62" spans="1:7" x14ac:dyDescent="0.25">
      <c r="A62" s="3" t="s">
        <v>11</v>
      </c>
      <c r="B62" s="4">
        <v>46011</v>
      </c>
      <c r="C62" s="5">
        <v>115</v>
      </c>
      <c r="D62" s="5">
        <v>80561.599999999991</v>
      </c>
      <c r="E62" s="5">
        <v>70</v>
      </c>
      <c r="F62" s="5">
        <v>48932.2</v>
      </c>
      <c r="G62" s="2">
        <f t="shared" si="1"/>
        <v>-31629.399999999994</v>
      </c>
    </row>
    <row r="63" spans="1:7" x14ac:dyDescent="0.25">
      <c r="A63" s="3" t="s">
        <v>11</v>
      </c>
      <c r="B63" s="4">
        <v>46012</v>
      </c>
      <c r="C63" s="5">
        <v>150</v>
      </c>
      <c r="D63" s="5">
        <v>112162.63999999998</v>
      </c>
      <c r="E63" s="5">
        <v>145</v>
      </c>
      <c r="F63" s="5">
        <v>96437.139999999985</v>
      </c>
      <c r="G63" s="2">
        <f t="shared" si="1"/>
        <v>-15725.5</v>
      </c>
    </row>
    <row r="64" spans="1:7" x14ac:dyDescent="0.25">
      <c r="A64" s="3" t="s">
        <v>11</v>
      </c>
      <c r="B64" s="4">
        <v>46013</v>
      </c>
      <c r="C64" s="5">
        <v>143</v>
      </c>
      <c r="D64" s="5">
        <v>95985.579999999987</v>
      </c>
      <c r="E64" s="5">
        <v>105</v>
      </c>
      <c r="F64" s="5">
        <v>72787.08</v>
      </c>
      <c r="G64" s="2">
        <f t="shared" si="1"/>
        <v>-23198.499999999985</v>
      </c>
    </row>
    <row r="65" spans="1:7" x14ac:dyDescent="0.25">
      <c r="A65" s="3" t="s">
        <v>11</v>
      </c>
      <c r="B65" s="4">
        <v>46014</v>
      </c>
      <c r="C65" s="5">
        <v>269</v>
      </c>
      <c r="D65" s="5">
        <v>180457.57999999996</v>
      </c>
      <c r="E65" s="5">
        <v>99</v>
      </c>
      <c r="F65" s="5">
        <v>60498.800999999999</v>
      </c>
      <c r="G65" s="2">
        <f t="shared" si="1"/>
        <v>-119958.77899999995</v>
      </c>
    </row>
    <row r="66" spans="1:7" x14ac:dyDescent="0.25">
      <c r="A66" s="3" t="s">
        <v>11</v>
      </c>
      <c r="B66" s="4">
        <v>46015</v>
      </c>
      <c r="C66" s="5">
        <v>189</v>
      </c>
      <c r="D66" s="5">
        <v>127722.78</v>
      </c>
      <c r="E66" s="5">
        <v>157</v>
      </c>
      <c r="F66" s="5">
        <v>120293.70000000001</v>
      </c>
      <c r="G66" s="2">
        <f t="shared" ref="G66:G73" si="2">F66-D66</f>
        <v>-7429.0799999999872</v>
      </c>
    </row>
    <row r="67" spans="1:7" x14ac:dyDescent="0.25">
      <c r="A67" s="3" t="s">
        <v>11</v>
      </c>
      <c r="B67" s="4">
        <v>46016</v>
      </c>
      <c r="C67" s="5">
        <v>126</v>
      </c>
      <c r="D67" s="5">
        <v>79796.100000000006</v>
      </c>
      <c r="E67" s="5">
        <v>104</v>
      </c>
      <c r="F67" s="5">
        <v>65394.46</v>
      </c>
      <c r="G67" s="2">
        <f t="shared" si="2"/>
        <v>-14401.640000000007</v>
      </c>
    </row>
    <row r="68" spans="1:7" x14ac:dyDescent="0.25">
      <c r="A68" s="7" t="s">
        <v>12</v>
      </c>
      <c r="B68" s="8">
        <v>46011</v>
      </c>
      <c r="C68" s="9">
        <v>36</v>
      </c>
      <c r="D68" s="9">
        <v>21763.239999999998</v>
      </c>
      <c r="E68" s="9">
        <v>74</v>
      </c>
      <c r="F68" s="9">
        <v>47331.760999999999</v>
      </c>
      <c r="G68" s="2">
        <f t="shared" si="2"/>
        <v>25568.521000000001</v>
      </c>
    </row>
    <row r="69" spans="1:7" x14ac:dyDescent="0.25">
      <c r="A69" s="7" t="s">
        <v>12</v>
      </c>
      <c r="B69" s="8">
        <v>46012</v>
      </c>
      <c r="C69" s="9">
        <v>67</v>
      </c>
      <c r="D69" s="9">
        <v>55579.599000000002</v>
      </c>
      <c r="E69" s="9">
        <v>57</v>
      </c>
      <c r="F69" s="9">
        <v>29883.379999999997</v>
      </c>
      <c r="G69" s="2">
        <f t="shared" si="2"/>
        <v>-25696.219000000005</v>
      </c>
    </row>
    <row r="70" spans="1:7" x14ac:dyDescent="0.25">
      <c r="A70" s="7" t="s">
        <v>12</v>
      </c>
      <c r="B70" s="8">
        <v>46013</v>
      </c>
      <c r="C70" s="9">
        <v>72</v>
      </c>
      <c r="D70" s="9">
        <v>46745.479999999996</v>
      </c>
      <c r="E70" s="9">
        <v>31</v>
      </c>
      <c r="F70" s="9">
        <v>21160.899000000001</v>
      </c>
      <c r="G70" s="2">
        <f t="shared" si="2"/>
        <v>-25584.580999999995</v>
      </c>
    </row>
    <row r="71" spans="1:7" x14ac:dyDescent="0.25">
      <c r="A71" s="7" t="s">
        <v>12</v>
      </c>
      <c r="B71" s="8">
        <v>46014</v>
      </c>
      <c r="C71" s="9">
        <v>51</v>
      </c>
      <c r="D71" s="9">
        <v>37781.450000000004</v>
      </c>
      <c r="E71" s="9">
        <v>83</v>
      </c>
      <c r="F71" s="9">
        <v>49925.02</v>
      </c>
      <c r="G71" s="2">
        <f t="shared" si="2"/>
        <v>12143.569999999992</v>
      </c>
    </row>
    <row r="72" spans="1:7" x14ac:dyDescent="0.25">
      <c r="A72" s="7" t="s">
        <v>12</v>
      </c>
      <c r="B72" s="8">
        <v>46015</v>
      </c>
      <c r="C72" s="9">
        <v>152</v>
      </c>
      <c r="D72" s="9">
        <v>99528.62</v>
      </c>
      <c r="E72" s="9">
        <v>120</v>
      </c>
      <c r="F72" s="9">
        <v>88885.7</v>
      </c>
      <c r="G72" s="2">
        <f t="shared" si="2"/>
        <v>-10642.919999999998</v>
      </c>
    </row>
    <row r="73" spans="1:7" x14ac:dyDescent="0.25">
      <c r="A73" s="7" t="s">
        <v>12</v>
      </c>
      <c r="B73" s="8">
        <v>46016</v>
      </c>
      <c r="C73" s="9">
        <v>62</v>
      </c>
      <c r="D73" s="9">
        <v>35850.209999999992</v>
      </c>
      <c r="E73" s="9">
        <v>54</v>
      </c>
      <c r="F73" s="9">
        <v>37280.400000000001</v>
      </c>
      <c r="G73" s="2">
        <f t="shared" si="2"/>
        <v>1430.1900000000096</v>
      </c>
    </row>
    <row r="74" spans="1:7" x14ac:dyDescent="0.25">
      <c r="A74" s="3" t="s">
        <v>13</v>
      </c>
      <c r="B74" s="4">
        <v>46011</v>
      </c>
      <c r="C74" s="5">
        <v>62</v>
      </c>
      <c r="D74" s="5">
        <v>37761.959999999992</v>
      </c>
      <c r="E74" s="5">
        <v>38</v>
      </c>
      <c r="F74" s="5">
        <v>23036.520000000004</v>
      </c>
      <c r="G74" s="2">
        <f t="shared" ref="G74:G131" si="3">F74-D74</f>
        <v>-14725.439999999988</v>
      </c>
    </row>
    <row r="75" spans="1:7" x14ac:dyDescent="0.25">
      <c r="A75" s="3" t="s">
        <v>13</v>
      </c>
      <c r="B75" s="4">
        <v>46012</v>
      </c>
      <c r="C75" s="5">
        <v>96</v>
      </c>
      <c r="D75" s="5">
        <v>61870.25</v>
      </c>
      <c r="E75" s="5">
        <v>93</v>
      </c>
      <c r="F75" s="5">
        <v>50644.6</v>
      </c>
      <c r="G75" s="2">
        <f t="shared" si="3"/>
        <v>-11225.650000000001</v>
      </c>
    </row>
    <row r="76" spans="1:7" x14ac:dyDescent="0.25">
      <c r="A76" s="3" t="s">
        <v>13</v>
      </c>
      <c r="B76" s="4">
        <v>46013</v>
      </c>
      <c r="C76" s="5">
        <v>97</v>
      </c>
      <c r="D76" s="5">
        <v>68067.839999999997</v>
      </c>
      <c r="E76" s="5">
        <v>80</v>
      </c>
      <c r="F76" s="5">
        <v>42489.180000000008</v>
      </c>
      <c r="G76" s="2">
        <f t="shared" si="3"/>
        <v>-25578.659999999989</v>
      </c>
    </row>
    <row r="77" spans="1:7" x14ac:dyDescent="0.25">
      <c r="A77" s="3" t="s">
        <v>13</v>
      </c>
      <c r="B77" s="4">
        <v>46014</v>
      </c>
      <c r="C77" s="5">
        <v>100</v>
      </c>
      <c r="D77" s="5">
        <v>63452.88</v>
      </c>
      <c r="E77" s="5">
        <v>83</v>
      </c>
      <c r="F77" s="5">
        <v>57104.68</v>
      </c>
      <c r="G77" s="2">
        <f t="shared" si="3"/>
        <v>-6348.1999999999971</v>
      </c>
    </row>
    <row r="78" spans="1:7" x14ac:dyDescent="0.25">
      <c r="A78" s="3" t="s">
        <v>13</v>
      </c>
      <c r="B78" s="4">
        <v>46015</v>
      </c>
      <c r="C78" s="5">
        <v>154</v>
      </c>
      <c r="D78" s="5">
        <v>103842.37</v>
      </c>
      <c r="E78" s="5">
        <v>119</v>
      </c>
      <c r="F78" s="5">
        <v>71420</v>
      </c>
      <c r="G78" s="2">
        <f t="shared" si="3"/>
        <v>-32422.369999999995</v>
      </c>
    </row>
    <row r="79" spans="1:7" x14ac:dyDescent="0.25">
      <c r="A79" s="3" t="s">
        <v>13</v>
      </c>
      <c r="B79" s="4">
        <v>46016</v>
      </c>
      <c r="C79" s="5">
        <v>83</v>
      </c>
      <c r="D79" s="5">
        <v>45623.31</v>
      </c>
      <c r="E79" s="5">
        <v>65</v>
      </c>
      <c r="F79" s="5">
        <v>35420.939999999995</v>
      </c>
      <c r="G79" s="2">
        <f t="shared" si="3"/>
        <v>-10202.370000000003</v>
      </c>
    </row>
    <row r="80" spans="1:7" x14ac:dyDescent="0.25">
      <c r="A80" s="7" t="s">
        <v>14</v>
      </c>
      <c r="B80" s="8">
        <v>46011</v>
      </c>
      <c r="C80" s="9">
        <v>85</v>
      </c>
      <c r="D80" s="9">
        <v>65605.89</v>
      </c>
      <c r="E80" s="9">
        <v>112</v>
      </c>
      <c r="F80" s="9">
        <v>77528.179999999993</v>
      </c>
      <c r="G80" s="2">
        <f t="shared" si="3"/>
        <v>11922.289999999994</v>
      </c>
    </row>
    <row r="81" spans="1:7" x14ac:dyDescent="0.25">
      <c r="A81" s="7" t="s">
        <v>14</v>
      </c>
      <c r="B81" s="8">
        <v>46012</v>
      </c>
      <c r="C81" s="9">
        <v>139</v>
      </c>
      <c r="D81" s="9">
        <v>105980.78</v>
      </c>
      <c r="E81" s="9">
        <v>127</v>
      </c>
      <c r="F81" s="9">
        <v>90883.420000000013</v>
      </c>
      <c r="G81" s="2">
        <f t="shared" si="3"/>
        <v>-15097.359999999986</v>
      </c>
    </row>
    <row r="82" spans="1:7" x14ac:dyDescent="0.25">
      <c r="A82" s="7" t="s">
        <v>14</v>
      </c>
      <c r="B82" s="8">
        <v>46013</v>
      </c>
      <c r="C82" s="9">
        <v>189</v>
      </c>
      <c r="D82" s="9">
        <v>112605.28999999998</v>
      </c>
      <c r="E82" s="9">
        <v>110</v>
      </c>
      <c r="F82" s="9">
        <v>82412.400000000009</v>
      </c>
      <c r="G82" s="2">
        <f t="shared" si="3"/>
        <v>-30192.88999999997</v>
      </c>
    </row>
    <row r="83" spans="1:7" x14ac:dyDescent="0.25">
      <c r="A83" s="7" t="s">
        <v>14</v>
      </c>
      <c r="B83" s="8">
        <v>46014</v>
      </c>
      <c r="C83" s="9">
        <v>259</v>
      </c>
      <c r="D83" s="9">
        <v>173430.15000000002</v>
      </c>
      <c r="E83" s="9">
        <v>139</v>
      </c>
      <c r="F83" s="9">
        <v>102926.46</v>
      </c>
      <c r="G83" s="2">
        <f t="shared" si="3"/>
        <v>-70503.690000000017</v>
      </c>
    </row>
    <row r="84" spans="1:7" x14ac:dyDescent="0.25">
      <c r="A84" s="7" t="s">
        <v>14</v>
      </c>
      <c r="B84" s="8">
        <v>46015</v>
      </c>
      <c r="C84" s="9">
        <v>426</v>
      </c>
      <c r="D84" s="9">
        <v>282431.38</v>
      </c>
      <c r="E84" s="9">
        <v>294</v>
      </c>
      <c r="F84" s="9">
        <v>215649.97999999998</v>
      </c>
      <c r="G84" s="2">
        <f t="shared" si="3"/>
        <v>-66781.400000000023</v>
      </c>
    </row>
    <row r="85" spans="1:7" x14ac:dyDescent="0.25">
      <c r="A85" s="7" t="s">
        <v>14</v>
      </c>
      <c r="B85" s="8">
        <v>46016</v>
      </c>
      <c r="C85" s="9">
        <v>125</v>
      </c>
      <c r="D85" s="9">
        <v>87112.76</v>
      </c>
      <c r="E85" s="9">
        <v>126</v>
      </c>
      <c r="F85" s="9">
        <v>101188.66000000002</v>
      </c>
      <c r="G85" s="2">
        <f t="shared" si="3"/>
        <v>14075.900000000023</v>
      </c>
    </row>
    <row r="86" spans="1:7" x14ac:dyDescent="0.25">
      <c r="A86" s="3" t="s">
        <v>15</v>
      </c>
      <c r="B86" s="4">
        <v>46011</v>
      </c>
      <c r="C86" s="5">
        <v>155</v>
      </c>
      <c r="D86" s="5">
        <v>112786.26099999997</v>
      </c>
      <c r="E86" s="5">
        <v>139</v>
      </c>
      <c r="F86" s="5">
        <v>105529.85999999999</v>
      </c>
      <c r="G86" s="2">
        <f t="shared" si="3"/>
        <v>-7256.4009999999835</v>
      </c>
    </row>
    <row r="87" spans="1:7" x14ac:dyDescent="0.25">
      <c r="A87" s="3" t="s">
        <v>15</v>
      </c>
      <c r="B87" s="4">
        <v>46012</v>
      </c>
      <c r="C87" s="5">
        <v>232</v>
      </c>
      <c r="D87" s="5">
        <v>163157.30999999997</v>
      </c>
      <c r="E87" s="5">
        <v>147</v>
      </c>
      <c r="F87" s="5">
        <v>108045.34</v>
      </c>
      <c r="G87" s="2">
        <f t="shared" si="3"/>
        <v>-55111.969999999972</v>
      </c>
    </row>
    <row r="88" spans="1:7" x14ac:dyDescent="0.25">
      <c r="A88" s="3" t="s">
        <v>15</v>
      </c>
      <c r="B88" s="4">
        <v>46013</v>
      </c>
      <c r="C88" s="5">
        <v>133</v>
      </c>
      <c r="D88" s="5">
        <v>88679.860000000015</v>
      </c>
      <c r="E88" s="5">
        <v>111</v>
      </c>
      <c r="F88" s="5">
        <v>76175.900000000009</v>
      </c>
      <c r="G88" s="2">
        <f t="shared" si="3"/>
        <v>-12503.960000000006</v>
      </c>
    </row>
    <row r="89" spans="1:7" x14ac:dyDescent="0.25">
      <c r="A89" s="3" t="s">
        <v>15</v>
      </c>
      <c r="B89" s="4">
        <v>46014</v>
      </c>
      <c r="C89" s="5">
        <v>200</v>
      </c>
      <c r="D89" s="5">
        <v>145161.5</v>
      </c>
      <c r="E89" s="5">
        <v>210</v>
      </c>
      <c r="F89" s="5">
        <v>134258.23999999999</v>
      </c>
      <c r="G89" s="2">
        <f t="shared" si="3"/>
        <v>-10903.260000000009</v>
      </c>
    </row>
    <row r="90" spans="1:7" x14ac:dyDescent="0.25">
      <c r="A90" s="3" t="s">
        <v>15</v>
      </c>
      <c r="B90" s="4">
        <v>46015</v>
      </c>
      <c r="C90" s="5">
        <v>325</v>
      </c>
      <c r="D90" s="5">
        <v>232792.84</v>
      </c>
      <c r="E90" s="5">
        <v>297</v>
      </c>
      <c r="F90" s="5">
        <v>199947</v>
      </c>
      <c r="G90" s="2">
        <f t="shared" si="3"/>
        <v>-32845.839999999997</v>
      </c>
    </row>
    <row r="91" spans="1:7" x14ac:dyDescent="0.25">
      <c r="A91" s="3" t="s">
        <v>15</v>
      </c>
      <c r="B91" s="4">
        <v>46016</v>
      </c>
      <c r="C91" s="5">
        <v>105</v>
      </c>
      <c r="D91" s="5">
        <v>76095.350000000006</v>
      </c>
      <c r="E91" s="5">
        <v>108</v>
      </c>
      <c r="F91" s="5">
        <v>56375.020000000011</v>
      </c>
      <c r="G91" s="2">
        <f t="shared" si="3"/>
        <v>-19720.329999999994</v>
      </c>
    </row>
    <row r="92" spans="1:7" x14ac:dyDescent="0.25">
      <c r="A92" s="7" t="s">
        <v>16</v>
      </c>
      <c r="B92" s="8">
        <v>46011</v>
      </c>
      <c r="C92" s="9">
        <v>152</v>
      </c>
      <c r="D92" s="9">
        <v>101536.76</v>
      </c>
      <c r="E92" s="9">
        <v>208</v>
      </c>
      <c r="F92" s="9">
        <v>133493.88</v>
      </c>
      <c r="G92" s="2">
        <f t="shared" si="3"/>
        <v>31957.12000000001</v>
      </c>
    </row>
    <row r="93" spans="1:7" x14ac:dyDescent="0.25">
      <c r="A93" s="7" t="s">
        <v>16</v>
      </c>
      <c r="B93" s="8">
        <v>46012</v>
      </c>
      <c r="C93" s="9">
        <v>293</v>
      </c>
      <c r="D93" s="9">
        <v>210306.09</v>
      </c>
      <c r="E93" s="9">
        <v>228</v>
      </c>
      <c r="F93" s="9">
        <v>138807.23000000001</v>
      </c>
      <c r="G93" s="2">
        <f t="shared" si="3"/>
        <v>-71498.859999999986</v>
      </c>
    </row>
    <row r="94" spans="1:7" x14ac:dyDescent="0.25">
      <c r="A94" s="7" t="s">
        <v>16</v>
      </c>
      <c r="B94" s="8">
        <v>46013</v>
      </c>
      <c r="C94" s="9">
        <v>290</v>
      </c>
      <c r="D94" s="9">
        <v>221020.12</v>
      </c>
      <c r="E94" s="9">
        <v>210</v>
      </c>
      <c r="F94" s="9">
        <v>136845.769</v>
      </c>
      <c r="G94" s="2">
        <f t="shared" si="3"/>
        <v>-84174.350999999995</v>
      </c>
    </row>
    <row r="95" spans="1:7" x14ac:dyDescent="0.25">
      <c r="A95" s="7" t="s">
        <v>16</v>
      </c>
      <c r="B95" s="8">
        <v>46014</v>
      </c>
      <c r="C95" s="9">
        <v>256</v>
      </c>
      <c r="D95" s="9">
        <v>194535.41000000003</v>
      </c>
      <c r="E95" s="9">
        <v>279</v>
      </c>
      <c r="F95" s="9">
        <v>181273.66</v>
      </c>
      <c r="G95" s="2">
        <f t="shared" si="3"/>
        <v>-13261.750000000029</v>
      </c>
    </row>
    <row r="96" spans="1:7" x14ac:dyDescent="0.25">
      <c r="A96" s="7" t="s">
        <v>16</v>
      </c>
      <c r="B96" s="8">
        <v>46015</v>
      </c>
      <c r="C96" s="9">
        <v>491</v>
      </c>
      <c r="D96" s="9">
        <v>377307.93</v>
      </c>
      <c r="E96" s="9">
        <v>417</v>
      </c>
      <c r="F96" s="9">
        <v>282738.49999999994</v>
      </c>
      <c r="G96" s="2">
        <f t="shared" si="3"/>
        <v>-94569.430000000051</v>
      </c>
    </row>
    <row r="97" spans="1:7" x14ac:dyDescent="0.25">
      <c r="A97" s="7" t="s">
        <v>16</v>
      </c>
      <c r="B97" s="8">
        <v>46016</v>
      </c>
      <c r="C97" s="9">
        <v>63</v>
      </c>
      <c r="D97" s="9">
        <v>38423.839</v>
      </c>
      <c r="E97" s="9">
        <v>99</v>
      </c>
      <c r="F97" s="9">
        <v>64317.02</v>
      </c>
      <c r="G97" s="2">
        <f t="shared" si="3"/>
        <v>25893.180999999997</v>
      </c>
    </row>
    <row r="98" spans="1:7" x14ac:dyDescent="0.25">
      <c r="A98" s="3" t="s">
        <v>17</v>
      </c>
      <c r="B98" s="4">
        <v>46011</v>
      </c>
      <c r="C98" s="5">
        <v>41</v>
      </c>
      <c r="D98" s="5">
        <v>30520.26</v>
      </c>
      <c r="E98" s="5">
        <v>64</v>
      </c>
      <c r="F98" s="5">
        <v>33338.720000000001</v>
      </c>
      <c r="G98" s="2">
        <f t="shared" si="3"/>
        <v>2818.4600000000028</v>
      </c>
    </row>
    <row r="99" spans="1:7" x14ac:dyDescent="0.25">
      <c r="A99" s="3" t="s">
        <v>17</v>
      </c>
      <c r="B99" s="4">
        <v>46012</v>
      </c>
      <c r="C99" s="5">
        <v>31</v>
      </c>
      <c r="D99" s="5">
        <v>22275.800000000007</v>
      </c>
      <c r="E99" s="5">
        <v>83</v>
      </c>
      <c r="F99" s="5">
        <v>52065.760000000009</v>
      </c>
      <c r="G99" s="2">
        <f t="shared" si="3"/>
        <v>29789.960000000003</v>
      </c>
    </row>
    <row r="100" spans="1:7" x14ac:dyDescent="0.25">
      <c r="A100" s="3" t="s">
        <v>17</v>
      </c>
      <c r="B100" s="4">
        <v>46013</v>
      </c>
      <c r="C100" s="5">
        <v>41</v>
      </c>
      <c r="D100" s="5">
        <v>30044.560000000001</v>
      </c>
      <c r="E100" s="5">
        <v>51</v>
      </c>
      <c r="F100" s="5">
        <v>32617.640000000003</v>
      </c>
      <c r="G100" s="2">
        <f t="shared" si="3"/>
        <v>2573.0800000000017</v>
      </c>
    </row>
    <row r="101" spans="1:7" x14ac:dyDescent="0.25">
      <c r="A101" s="3" t="s">
        <v>17</v>
      </c>
      <c r="B101" s="4">
        <v>46014</v>
      </c>
      <c r="C101" s="5">
        <v>60</v>
      </c>
      <c r="D101" s="5">
        <v>40937.32</v>
      </c>
      <c r="E101" s="5">
        <v>68</v>
      </c>
      <c r="F101" s="5">
        <v>42545.66</v>
      </c>
      <c r="G101" s="2">
        <f t="shared" si="3"/>
        <v>1608.3400000000038</v>
      </c>
    </row>
    <row r="102" spans="1:7" x14ac:dyDescent="0.25">
      <c r="A102" s="3" t="s">
        <v>17</v>
      </c>
      <c r="B102" s="4">
        <v>46015</v>
      </c>
      <c r="C102" s="5">
        <v>81</v>
      </c>
      <c r="D102" s="5">
        <v>49012.770000000004</v>
      </c>
      <c r="E102" s="5">
        <v>120</v>
      </c>
      <c r="F102" s="5">
        <v>78010.320000000007</v>
      </c>
      <c r="G102" s="2">
        <f t="shared" si="3"/>
        <v>28997.550000000003</v>
      </c>
    </row>
    <row r="103" spans="1:7" x14ac:dyDescent="0.25">
      <c r="A103" s="3" t="s">
        <v>17</v>
      </c>
      <c r="B103" s="4">
        <v>46016</v>
      </c>
      <c r="C103" s="5">
        <v>53</v>
      </c>
      <c r="D103" s="5">
        <v>35220.659999999996</v>
      </c>
      <c r="E103" s="5">
        <v>44</v>
      </c>
      <c r="F103" s="5">
        <v>34087.680000000008</v>
      </c>
      <c r="G103" s="2">
        <f t="shared" si="3"/>
        <v>-1132.9799999999886</v>
      </c>
    </row>
    <row r="104" spans="1:7" x14ac:dyDescent="0.25">
      <c r="A104" s="7" t="s">
        <v>18</v>
      </c>
      <c r="B104" s="8">
        <v>46011</v>
      </c>
      <c r="C104" s="9">
        <v>58</v>
      </c>
      <c r="D104" s="9">
        <v>51237.140000000007</v>
      </c>
      <c r="E104" s="9">
        <v>95</v>
      </c>
      <c r="F104" s="9">
        <v>67084.319999999992</v>
      </c>
      <c r="G104" s="2">
        <f t="shared" si="3"/>
        <v>15847.179999999986</v>
      </c>
    </row>
    <row r="105" spans="1:7" x14ac:dyDescent="0.25">
      <c r="A105" s="7" t="s">
        <v>18</v>
      </c>
      <c r="B105" s="8">
        <v>46012</v>
      </c>
      <c r="C105" s="9">
        <v>72</v>
      </c>
      <c r="D105" s="9">
        <v>53368.19999999999</v>
      </c>
      <c r="E105" s="9">
        <v>95</v>
      </c>
      <c r="F105" s="9">
        <v>64398.960000000006</v>
      </c>
      <c r="G105" s="2">
        <f t="shared" si="3"/>
        <v>11030.760000000017</v>
      </c>
    </row>
    <row r="106" spans="1:7" x14ac:dyDescent="0.25">
      <c r="A106" s="7" t="s">
        <v>18</v>
      </c>
      <c r="B106" s="8">
        <v>46013</v>
      </c>
      <c r="C106" s="9">
        <v>76</v>
      </c>
      <c r="D106" s="9">
        <v>49763.570000000007</v>
      </c>
      <c r="E106" s="9">
        <v>55</v>
      </c>
      <c r="F106" s="9">
        <v>31941.940000000002</v>
      </c>
      <c r="G106" s="2">
        <f t="shared" si="3"/>
        <v>-17821.630000000005</v>
      </c>
    </row>
    <row r="107" spans="1:7" x14ac:dyDescent="0.25">
      <c r="A107" s="7" t="s">
        <v>18</v>
      </c>
      <c r="B107" s="8">
        <v>46014</v>
      </c>
      <c r="C107" s="9">
        <v>59</v>
      </c>
      <c r="D107" s="9">
        <v>40740.739999999991</v>
      </c>
      <c r="E107" s="9">
        <v>63</v>
      </c>
      <c r="F107" s="9">
        <v>34406.800000000003</v>
      </c>
      <c r="G107" s="2">
        <f t="shared" si="3"/>
        <v>-6333.9399999999878</v>
      </c>
    </row>
    <row r="108" spans="1:7" x14ac:dyDescent="0.25">
      <c r="A108" s="7" t="s">
        <v>18</v>
      </c>
      <c r="B108" s="8">
        <v>46015</v>
      </c>
      <c r="C108" s="9">
        <v>90</v>
      </c>
      <c r="D108" s="9">
        <v>61066.02</v>
      </c>
      <c r="E108" s="9">
        <v>110</v>
      </c>
      <c r="F108" s="9">
        <v>67090.2</v>
      </c>
      <c r="G108" s="2">
        <f t="shared" si="3"/>
        <v>6024.18</v>
      </c>
    </row>
    <row r="109" spans="1:7" x14ac:dyDescent="0.25">
      <c r="A109" s="7" t="s">
        <v>18</v>
      </c>
      <c r="B109" s="8">
        <v>46016</v>
      </c>
      <c r="C109" s="9">
        <v>60</v>
      </c>
      <c r="D109" s="9">
        <v>44828.21</v>
      </c>
      <c r="E109" s="9">
        <v>84</v>
      </c>
      <c r="F109" s="9">
        <v>47828.86</v>
      </c>
      <c r="G109" s="2">
        <f t="shared" si="3"/>
        <v>3000.6500000000015</v>
      </c>
    </row>
    <row r="110" spans="1:7" x14ac:dyDescent="0.25">
      <c r="A110" s="3" t="s">
        <v>19</v>
      </c>
      <c r="B110" s="4">
        <v>46011</v>
      </c>
      <c r="C110" s="5">
        <v>74</v>
      </c>
      <c r="D110" s="5">
        <v>46514.540000000008</v>
      </c>
      <c r="E110" s="5">
        <v>36</v>
      </c>
      <c r="F110" s="5">
        <v>26286.659999999996</v>
      </c>
      <c r="G110" s="2">
        <f t="shared" si="3"/>
        <v>-20227.880000000012</v>
      </c>
    </row>
    <row r="111" spans="1:7" x14ac:dyDescent="0.25">
      <c r="A111" s="3" t="s">
        <v>19</v>
      </c>
      <c r="B111" s="4">
        <v>46012</v>
      </c>
      <c r="C111" s="5">
        <v>81</v>
      </c>
      <c r="D111" s="5">
        <v>45065.78</v>
      </c>
      <c r="E111" s="5">
        <v>189</v>
      </c>
      <c r="F111" s="5">
        <v>138241.51999999999</v>
      </c>
      <c r="G111" s="2">
        <f t="shared" si="3"/>
        <v>93175.739999999991</v>
      </c>
    </row>
    <row r="112" spans="1:7" x14ac:dyDescent="0.25">
      <c r="A112" s="3" t="s">
        <v>19</v>
      </c>
      <c r="B112" s="4">
        <v>46013</v>
      </c>
      <c r="C112" s="5">
        <v>158</v>
      </c>
      <c r="D112" s="5">
        <v>98961.610000000015</v>
      </c>
      <c r="E112" s="5">
        <v>52</v>
      </c>
      <c r="F112" s="5">
        <v>40226.06</v>
      </c>
      <c r="G112" s="2">
        <f t="shared" si="3"/>
        <v>-58735.550000000017</v>
      </c>
    </row>
    <row r="113" spans="1:7" x14ac:dyDescent="0.25">
      <c r="A113" s="3" t="s">
        <v>19</v>
      </c>
      <c r="B113" s="4">
        <v>46014</v>
      </c>
      <c r="C113" s="5">
        <v>111</v>
      </c>
      <c r="D113" s="5">
        <v>81921.919999999998</v>
      </c>
      <c r="E113" s="5">
        <v>105</v>
      </c>
      <c r="F113" s="5">
        <v>72651.8</v>
      </c>
      <c r="G113" s="2">
        <f t="shared" si="3"/>
        <v>-9270.1199999999953</v>
      </c>
    </row>
    <row r="114" spans="1:7" x14ac:dyDescent="0.25">
      <c r="A114" s="3" t="s">
        <v>19</v>
      </c>
      <c r="B114" s="4">
        <v>46015</v>
      </c>
      <c r="C114" s="5">
        <v>150</v>
      </c>
      <c r="D114" s="5">
        <v>105121.09</v>
      </c>
      <c r="E114" s="5">
        <v>125</v>
      </c>
      <c r="F114" s="5">
        <v>82841.72</v>
      </c>
      <c r="G114" s="2">
        <f t="shared" si="3"/>
        <v>-22279.369999999995</v>
      </c>
    </row>
    <row r="115" spans="1:7" x14ac:dyDescent="0.25">
      <c r="A115" s="3" t="s">
        <v>19</v>
      </c>
      <c r="B115" s="4">
        <v>46016</v>
      </c>
      <c r="C115" s="5">
        <v>58</v>
      </c>
      <c r="D115" s="5">
        <v>39668.94999999999</v>
      </c>
      <c r="E115" s="5">
        <v>37</v>
      </c>
      <c r="F115" s="5">
        <v>25547.600000000002</v>
      </c>
      <c r="G115" s="2">
        <f t="shared" si="3"/>
        <v>-14121.349999999988</v>
      </c>
    </row>
    <row r="116" spans="1:7" x14ac:dyDescent="0.25">
      <c r="A116" s="7" t="s">
        <v>37</v>
      </c>
      <c r="B116" s="8">
        <v>46011</v>
      </c>
      <c r="C116" s="9">
        <v>77</v>
      </c>
      <c r="D116" s="9">
        <v>60396.49</v>
      </c>
      <c r="E116" s="9">
        <v>70</v>
      </c>
      <c r="F116" s="9">
        <v>60763.399999999994</v>
      </c>
      <c r="G116" s="2">
        <f t="shared" si="3"/>
        <v>366.90999999999622</v>
      </c>
    </row>
    <row r="117" spans="1:7" x14ac:dyDescent="0.25">
      <c r="A117" s="7" t="s">
        <v>37</v>
      </c>
      <c r="B117" s="8">
        <v>46012</v>
      </c>
      <c r="C117" s="9">
        <v>144</v>
      </c>
      <c r="D117" s="9">
        <v>125975.4</v>
      </c>
      <c r="E117" s="9">
        <v>92</v>
      </c>
      <c r="F117" s="9">
        <v>67946.51999999999</v>
      </c>
      <c r="G117" s="2">
        <f t="shared" si="3"/>
        <v>-58028.880000000005</v>
      </c>
    </row>
    <row r="118" spans="1:7" x14ac:dyDescent="0.25">
      <c r="A118" s="7" t="s">
        <v>37</v>
      </c>
      <c r="B118" s="8">
        <v>46013</v>
      </c>
      <c r="C118" s="9">
        <v>178</v>
      </c>
      <c r="D118" s="9">
        <v>146413.70000000001</v>
      </c>
      <c r="E118" s="9">
        <v>151</v>
      </c>
      <c r="F118" s="9">
        <v>116951.97</v>
      </c>
      <c r="G118" s="2">
        <f t="shared" si="3"/>
        <v>-29461.73000000001</v>
      </c>
    </row>
    <row r="119" spans="1:7" x14ac:dyDescent="0.25">
      <c r="A119" s="7" t="s">
        <v>37</v>
      </c>
      <c r="B119" s="8">
        <v>46014</v>
      </c>
      <c r="C119" s="9">
        <v>175</v>
      </c>
      <c r="D119" s="9">
        <v>116840.7</v>
      </c>
      <c r="E119" s="9">
        <v>142</v>
      </c>
      <c r="F119" s="9">
        <v>118196.87999999999</v>
      </c>
      <c r="G119" s="2">
        <f t="shared" si="3"/>
        <v>1356.179999999993</v>
      </c>
    </row>
    <row r="120" spans="1:7" x14ac:dyDescent="0.25">
      <c r="A120" s="7" t="s">
        <v>37</v>
      </c>
      <c r="B120" s="8">
        <v>46015</v>
      </c>
      <c r="C120" s="9">
        <v>285</v>
      </c>
      <c r="D120" s="9">
        <v>223725.80000000002</v>
      </c>
      <c r="E120" s="9">
        <v>157</v>
      </c>
      <c r="F120" s="9">
        <v>126528.00999999998</v>
      </c>
      <c r="G120" s="2">
        <f t="shared" si="3"/>
        <v>-97197.790000000037</v>
      </c>
    </row>
    <row r="121" spans="1:7" x14ac:dyDescent="0.25">
      <c r="A121" s="7" t="s">
        <v>37</v>
      </c>
      <c r="B121" s="8">
        <v>46016</v>
      </c>
      <c r="C121" s="9">
        <v>262</v>
      </c>
      <c r="D121" s="9">
        <v>201830.11000000004</v>
      </c>
      <c r="E121" s="9">
        <v>94</v>
      </c>
      <c r="F121" s="9">
        <v>86015.899999999965</v>
      </c>
      <c r="G121" s="2">
        <f t="shared" si="3"/>
        <v>-115814.21000000008</v>
      </c>
    </row>
    <row r="122" spans="1:7" x14ac:dyDescent="0.25">
      <c r="A122" s="3" t="s">
        <v>20</v>
      </c>
      <c r="B122" s="4">
        <v>46011</v>
      </c>
      <c r="C122" s="5">
        <v>49</v>
      </c>
      <c r="D122" s="5">
        <v>45376.86</v>
      </c>
      <c r="E122" s="5">
        <v>43</v>
      </c>
      <c r="F122" s="5">
        <v>45649.080000000009</v>
      </c>
      <c r="G122" s="2">
        <f t="shared" si="3"/>
        <v>272.22000000000844</v>
      </c>
    </row>
    <row r="123" spans="1:7" x14ac:dyDescent="0.25">
      <c r="A123" s="3" t="s">
        <v>20</v>
      </c>
      <c r="B123" s="4">
        <v>46012</v>
      </c>
      <c r="C123" s="5">
        <v>88</v>
      </c>
      <c r="D123" s="5">
        <v>83443.14</v>
      </c>
      <c r="E123" s="5">
        <v>55</v>
      </c>
      <c r="F123" s="5">
        <v>50628.6</v>
      </c>
      <c r="G123" s="2">
        <f t="shared" si="3"/>
        <v>-32814.54</v>
      </c>
    </row>
    <row r="124" spans="1:7" x14ac:dyDescent="0.25">
      <c r="A124" s="3" t="s">
        <v>20</v>
      </c>
      <c r="B124" s="4">
        <v>46013</v>
      </c>
      <c r="C124" s="5">
        <v>71</v>
      </c>
      <c r="D124" s="5">
        <v>82925.020000000019</v>
      </c>
      <c r="E124" s="5">
        <v>75</v>
      </c>
      <c r="F124" s="5">
        <v>72175.02</v>
      </c>
      <c r="G124" s="2">
        <f t="shared" si="3"/>
        <v>-10750.000000000015</v>
      </c>
    </row>
    <row r="125" spans="1:7" x14ac:dyDescent="0.25">
      <c r="A125" s="3" t="s">
        <v>20</v>
      </c>
      <c r="B125" s="4">
        <v>46014</v>
      </c>
      <c r="C125" s="5">
        <v>109</v>
      </c>
      <c r="D125" s="5">
        <v>116036.48</v>
      </c>
      <c r="E125" s="5">
        <v>34</v>
      </c>
      <c r="F125" s="5">
        <v>27134.26</v>
      </c>
      <c r="G125" s="2">
        <f t="shared" si="3"/>
        <v>-88902.22</v>
      </c>
    </row>
    <row r="126" spans="1:7" x14ac:dyDescent="0.25">
      <c r="A126" s="3" t="s">
        <v>20</v>
      </c>
      <c r="B126" s="4">
        <v>46015</v>
      </c>
      <c r="C126" s="5">
        <v>67</v>
      </c>
      <c r="D126" s="5">
        <v>63031.240000000005</v>
      </c>
      <c r="E126" s="5">
        <v>129</v>
      </c>
      <c r="F126" s="5">
        <v>137626.44</v>
      </c>
      <c r="G126" s="2">
        <f t="shared" si="3"/>
        <v>74595.199999999997</v>
      </c>
    </row>
    <row r="127" spans="1:7" x14ac:dyDescent="0.25">
      <c r="A127" s="3" t="s">
        <v>20</v>
      </c>
      <c r="B127" s="4">
        <v>46016</v>
      </c>
      <c r="C127" s="5">
        <v>66</v>
      </c>
      <c r="D127" s="5">
        <v>74075.12</v>
      </c>
      <c r="E127" s="5">
        <v>50</v>
      </c>
      <c r="F127" s="5">
        <v>53102.12000000001</v>
      </c>
      <c r="G127" s="2">
        <f t="shared" si="3"/>
        <v>-20972.999999999985</v>
      </c>
    </row>
    <row r="128" spans="1:7" x14ac:dyDescent="0.25">
      <c r="A128" s="7" t="s">
        <v>36</v>
      </c>
      <c r="B128" s="8">
        <v>46011</v>
      </c>
      <c r="C128" s="9">
        <v>25</v>
      </c>
      <c r="D128" s="9">
        <v>25596.280000000002</v>
      </c>
      <c r="E128" s="9">
        <v>24</v>
      </c>
      <c r="F128" s="9">
        <v>14331.5</v>
      </c>
      <c r="G128" s="2">
        <f t="shared" si="3"/>
        <v>-11264.780000000002</v>
      </c>
    </row>
    <row r="129" spans="1:7" x14ac:dyDescent="0.25">
      <c r="A129" s="7" t="s">
        <v>36</v>
      </c>
      <c r="B129" s="8">
        <v>46012</v>
      </c>
      <c r="C129" s="9">
        <v>47</v>
      </c>
      <c r="D129" s="9">
        <v>35651.379999999997</v>
      </c>
      <c r="E129" s="9">
        <v>4</v>
      </c>
      <c r="F129" s="9">
        <v>2263.8199999999997</v>
      </c>
      <c r="G129" s="2">
        <f t="shared" si="3"/>
        <v>-33387.56</v>
      </c>
    </row>
    <row r="130" spans="1:7" x14ac:dyDescent="0.25">
      <c r="A130" s="7" t="s">
        <v>36</v>
      </c>
      <c r="B130" s="8">
        <v>46013</v>
      </c>
      <c r="C130" s="9">
        <v>16</v>
      </c>
      <c r="D130" s="9">
        <v>11768.220000000001</v>
      </c>
      <c r="E130" s="9">
        <v>23</v>
      </c>
      <c r="F130" s="9">
        <v>16861.88</v>
      </c>
      <c r="G130" s="2">
        <f t="shared" si="3"/>
        <v>5093.66</v>
      </c>
    </row>
    <row r="131" spans="1:7" x14ac:dyDescent="0.25">
      <c r="A131" s="7" t="s">
        <v>36</v>
      </c>
      <c r="B131" s="8">
        <v>46014</v>
      </c>
      <c r="C131" s="9">
        <v>41</v>
      </c>
      <c r="D131" s="9">
        <v>34027.160000000003</v>
      </c>
      <c r="E131" s="9">
        <v>25</v>
      </c>
      <c r="F131" s="9">
        <v>17581.46</v>
      </c>
      <c r="G131" s="2">
        <f t="shared" si="3"/>
        <v>-16445.700000000004</v>
      </c>
    </row>
    <row r="132" spans="1:7" x14ac:dyDescent="0.25">
      <c r="A132" s="7" t="s">
        <v>36</v>
      </c>
      <c r="B132" s="8">
        <v>46015</v>
      </c>
      <c r="C132" s="9">
        <v>61</v>
      </c>
      <c r="D132" s="9">
        <v>53076.759999999995</v>
      </c>
      <c r="E132" s="9">
        <v>16</v>
      </c>
      <c r="F132" s="9">
        <v>11303.86</v>
      </c>
      <c r="G132" s="2">
        <f t="shared" ref="G132:G139" si="4">F132-D132</f>
        <v>-41772.899999999994</v>
      </c>
    </row>
    <row r="133" spans="1:7" x14ac:dyDescent="0.25">
      <c r="A133" s="7" t="s">
        <v>36</v>
      </c>
      <c r="B133" s="8">
        <v>46016</v>
      </c>
      <c r="C133" s="9">
        <v>19</v>
      </c>
      <c r="D133" s="9">
        <v>13608.02</v>
      </c>
      <c r="E133" s="9">
        <v>21</v>
      </c>
      <c r="F133" s="9">
        <v>12873.06</v>
      </c>
      <c r="G133" s="2">
        <f t="shared" si="4"/>
        <v>-734.96000000000095</v>
      </c>
    </row>
    <row r="134" spans="1:7" x14ac:dyDescent="0.25">
      <c r="A134" s="3" t="s">
        <v>35</v>
      </c>
      <c r="B134" s="4">
        <v>46011</v>
      </c>
      <c r="C134" s="5">
        <v>235</v>
      </c>
      <c r="D134" s="5">
        <v>151698.37100000001</v>
      </c>
      <c r="E134" s="5">
        <v>63</v>
      </c>
      <c r="F134" s="5">
        <v>57341.139999999992</v>
      </c>
      <c r="G134" s="2">
        <f t="shared" si="4"/>
        <v>-94357.231000000029</v>
      </c>
    </row>
    <row r="135" spans="1:7" x14ac:dyDescent="0.25">
      <c r="A135" s="3" t="s">
        <v>35</v>
      </c>
      <c r="B135" s="4">
        <v>46012</v>
      </c>
      <c r="C135" s="5">
        <v>128</v>
      </c>
      <c r="D135" s="5">
        <v>96429.296000000002</v>
      </c>
      <c r="E135" s="5">
        <v>48</v>
      </c>
      <c r="F135" s="5">
        <v>47278.560000000005</v>
      </c>
      <c r="G135" s="2">
        <f t="shared" si="4"/>
        <v>-49150.735999999997</v>
      </c>
    </row>
    <row r="136" spans="1:7" x14ac:dyDescent="0.25">
      <c r="A136" s="3" t="s">
        <v>35</v>
      </c>
      <c r="B136" s="4">
        <v>46013</v>
      </c>
      <c r="C136" s="5">
        <v>116</v>
      </c>
      <c r="D136" s="5">
        <v>86325.74</v>
      </c>
      <c r="E136" s="5">
        <v>54</v>
      </c>
      <c r="F136" s="5">
        <v>42251.920000000006</v>
      </c>
      <c r="G136" s="2">
        <f t="shared" si="4"/>
        <v>-44073.82</v>
      </c>
    </row>
    <row r="137" spans="1:7" x14ac:dyDescent="0.25">
      <c r="A137" s="3" t="s">
        <v>35</v>
      </c>
      <c r="B137" s="4">
        <v>46014</v>
      </c>
      <c r="C137" s="5">
        <v>179</v>
      </c>
      <c r="D137" s="5">
        <v>143562.084</v>
      </c>
      <c r="E137" s="5">
        <v>121</v>
      </c>
      <c r="F137" s="5">
        <v>86351.099999999991</v>
      </c>
      <c r="G137" s="2">
        <f t="shared" si="4"/>
        <v>-57210.984000000011</v>
      </c>
    </row>
    <row r="138" spans="1:7" x14ac:dyDescent="0.25">
      <c r="A138" s="3" t="s">
        <v>35</v>
      </c>
      <c r="B138" s="4">
        <v>46015</v>
      </c>
      <c r="C138" s="5">
        <v>210</v>
      </c>
      <c r="D138" s="5">
        <v>162701.59800000003</v>
      </c>
      <c r="E138" s="5">
        <v>153</v>
      </c>
      <c r="F138" s="5">
        <v>92510.64</v>
      </c>
      <c r="G138" s="2">
        <f t="shared" si="4"/>
        <v>-70190.958000000028</v>
      </c>
    </row>
    <row r="139" spans="1:7" x14ac:dyDescent="0.25">
      <c r="A139" s="3" t="s">
        <v>35</v>
      </c>
      <c r="B139" s="4">
        <v>46016</v>
      </c>
      <c r="C139" s="5">
        <v>117</v>
      </c>
      <c r="D139" s="5">
        <v>109694.92</v>
      </c>
      <c r="E139" s="5">
        <v>100</v>
      </c>
      <c r="F139" s="5">
        <v>57387.64</v>
      </c>
      <c r="G139" s="2">
        <f t="shared" si="4"/>
        <v>-52307.28</v>
      </c>
    </row>
  </sheetData>
  <conditionalFormatting sqref="G2:G139">
    <cfRule type="cellIs" dxfId="3" priority="1" operator="greaterThan">
      <formula>0</formula>
    </cfRule>
    <cfRule type="cellIs" dxfId="2" priority="2" operator="lessThan">
      <formula>0</formula>
    </cfRule>
  </conditionalFormatting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G1" sqref="A1:G7"/>
    </sheetView>
  </sheetViews>
  <sheetFormatPr defaultRowHeight="13.2" x14ac:dyDescent="0.25"/>
  <cols>
    <col min="1" max="1" width="34.44140625" bestFit="1" customWidth="1"/>
    <col min="2" max="2" width="7" bestFit="1" customWidth="1"/>
    <col min="3" max="3" width="19.33203125" bestFit="1" customWidth="1"/>
    <col min="4" max="4" width="21.6640625" bestFit="1" customWidth="1"/>
    <col min="5" max="5" width="19.33203125" bestFit="1" customWidth="1"/>
    <col min="6" max="6" width="21.6640625" bestFit="1" customWidth="1"/>
    <col min="7" max="7" width="9.77734375" bestFit="1" customWidth="1"/>
  </cols>
  <sheetData>
    <row r="1" spans="1:7" x14ac:dyDescent="0.25">
      <c r="A1" s="11" t="s">
        <v>0</v>
      </c>
      <c r="B1" s="11" t="s">
        <v>1</v>
      </c>
      <c r="C1" s="12" t="s">
        <v>29</v>
      </c>
      <c r="D1" s="11" t="s">
        <v>26</v>
      </c>
      <c r="E1" s="12" t="s">
        <v>28</v>
      </c>
      <c r="F1" s="11" t="s">
        <v>27</v>
      </c>
      <c r="G1" s="11" t="s">
        <v>32</v>
      </c>
    </row>
    <row r="2" spans="1:7" x14ac:dyDescent="0.25">
      <c r="A2" s="7" t="s">
        <v>33</v>
      </c>
      <c r="B2" s="8">
        <v>46011</v>
      </c>
      <c r="C2" s="9">
        <v>2460</v>
      </c>
      <c r="D2" s="9">
        <v>1506253.2189999975</v>
      </c>
      <c r="E2" s="9">
        <v>1446</v>
      </c>
      <c r="F2" s="9">
        <v>712589.19800000312</v>
      </c>
      <c r="G2" s="2">
        <f>F2-D2</f>
        <v>-793664.02099999436</v>
      </c>
    </row>
    <row r="3" spans="1:7" x14ac:dyDescent="0.25">
      <c r="A3" s="7" t="s">
        <v>33</v>
      </c>
      <c r="B3" s="8">
        <v>46013</v>
      </c>
      <c r="C3" s="9">
        <v>4344</v>
      </c>
      <c r="D3" s="9">
        <v>2641391.443</v>
      </c>
      <c r="E3" s="9">
        <v>3989</v>
      </c>
      <c r="F3" s="9">
        <v>2098726.1150000002</v>
      </c>
      <c r="G3" s="2">
        <f>F3-D3</f>
        <v>-542665.32799999975</v>
      </c>
    </row>
    <row r="4" spans="1:7" x14ac:dyDescent="0.25">
      <c r="A4" s="7" t="s">
        <v>33</v>
      </c>
      <c r="B4" s="8">
        <v>46014</v>
      </c>
      <c r="C4" s="9">
        <v>1180</v>
      </c>
      <c r="D4" s="9">
        <v>728256.07599999988</v>
      </c>
      <c r="E4" s="9">
        <v>1360</v>
      </c>
      <c r="F4" s="9">
        <v>648141.97500000009</v>
      </c>
      <c r="G4" s="2">
        <f>F4-D4</f>
        <v>-80114.100999999791</v>
      </c>
    </row>
    <row r="5" spans="1:7" x14ac:dyDescent="0.25">
      <c r="A5" s="7" t="s">
        <v>33</v>
      </c>
      <c r="B5" s="8">
        <v>46015</v>
      </c>
      <c r="C5" s="9">
        <v>1538</v>
      </c>
      <c r="D5" s="9">
        <v>517018.00400000002</v>
      </c>
      <c r="E5" s="9">
        <v>1249</v>
      </c>
      <c r="F5" s="9">
        <v>741130.00900000008</v>
      </c>
      <c r="G5" s="2">
        <f>F5-D5</f>
        <v>224112.00500000006</v>
      </c>
    </row>
    <row r="6" spans="1:7" x14ac:dyDescent="0.25">
      <c r="A6" s="7" t="s">
        <v>33</v>
      </c>
      <c r="B6" s="8">
        <v>46016</v>
      </c>
      <c r="C6" s="9">
        <v>1347</v>
      </c>
      <c r="D6" s="9">
        <v>572554.26099999994</v>
      </c>
      <c r="E6" s="9">
        <v>1834</v>
      </c>
      <c r="F6" s="9">
        <v>952511.98999999976</v>
      </c>
      <c r="G6" s="2">
        <f>F6-D6</f>
        <v>379957.72899999982</v>
      </c>
    </row>
    <row r="7" spans="1:7" x14ac:dyDescent="0.25">
      <c r="A7" s="16" t="s">
        <v>34</v>
      </c>
      <c r="B7" s="16"/>
      <c r="C7" s="10">
        <f>SUM(C2:C6)</f>
        <v>10869</v>
      </c>
      <c r="D7" s="10">
        <f>SUM(D2:D6)</f>
        <v>5965473.0029999977</v>
      </c>
      <c r="E7" s="10">
        <f>SUM(E2:E6)</f>
        <v>9878</v>
      </c>
      <c r="F7" s="10">
        <f>SUM(F2:F6)</f>
        <v>5153099.2870000042</v>
      </c>
      <c r="G7" s="10">
        <f>SUM(G2:G6)</f>
        <v>-812373.71599999396</v>
      </c>
    </row>
  </sheetData>
  <mergeCells count="1">
    <mergeCell ref="A7:B7"/>
  </mergeCells>
  <conditionalFormatting sqref="G2:G6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A14" sqref="A14:B14"/>
    </sheetView>
  </sheetViews>
  <sheetFormatPr defaultRowHeight="13.2" x14ac:dyDescent="0.25"/>
  <cols>
    <col min="1" max="1" width="30.21875" bestFit="1" customWidth="1"/>
    <col min="2" max="2" width="10.33203125" style="1" bestFit="1" customWidth="1"/>
    <col min="3" max="3" width="32" bestFit="1" customWidth="1"/>
    <col min="4" max="4" width="32.33203125" bestFit="1" customWidth="1"/>
  </cols>
  <sheetData>
    <row r="1" spans="1:4" x14ac:dyDescent="0.25">
      <c r="A1" s="11" t="s">
        <v>0</v>
      </c>
      <c r="B1" s="15" t="s">
        <v>1</v>
      </c>
      <c r="C1" s="11" t="s">
        <v>31</v>
      </c>
      <c r="D1" s="11" t="s">
        <v>26</v>
      </c>
    </row>
    <row r="2" spans="1:4" x14ac:dyDescent="0.25">
      <c r="A2" s="3" t="s">
        <v>5</v>
      </c>
      <c r="B2" s="4">
        <v>46011</v>
      </c>
      <c r="C2" s="5">
        <v>121</v>
      </c>
      <c r="D2" s="5">
        <v>102403.56</v>
      </c>
    </row>
    <row r="3" spans="1:4" x14ac:dyDescent="0.25">
      <c r="A3" s="3" t="s">
        <v>5</v>
      </c>
      <c r="B3" s="4">
        <v>46012</v>
      </c>
      <c r="C3" s="5">
        <v>173</v>
      </c>
      <c r="D3" s="5">
        <v>149923.6</v>
      </c>
    </row>
    <row r="4" spans="1:4" x14ac:dyDescent="0.25">
      <c r="A4" s="3" t="s">
        <v>5</v>
      </c>
      <c r="B4" s="4">
        <v>46013</v>
      </c>
      <c r="C4" s="5">
        <v>246</v>
      </c>
      <c r="D4" s="5">
        <v>188498.4</v>
      </c>
    </row>
    <row r="5" spans="1:4" x14ac:dyDescent="0.25">
      <c r="A5" s="3" t="s">
        <v>5</v>
      </c>
      <c r="B5" s="4">
        <v>46014</v>
      </c>
      <c r="C5" s="5">
        <v>252</v>
      </c>
      <c r="D5" s="5">
        <v>206724.44</v>
      </c>
    </row>
    <row r="6" spans="1:4" x14ac:dyDescent="0.25">
      <c r="A6" s="3" t="s">
        <v>5</v>
      </c>
      <c r="B6" s="4">
        <v>46015</v>
      </c>
      <c r="C6" s="5">
        <v>351</v>
      </c>
      <c r="D6" s="5">
        <v>306600.74000000005</v>
      </c>
    </row>
    <row r="7" spans="1:4" x14ac:dyDescent="0.25">
      <c r="A7" s="3" t="s">
        <v>5</v>
      </c>
      <c r="B7" s="4">
        <v>46016</v>
      </c>
      <c r="C7" s="5">
        <v>99</v>
      </c>
      <c r="D7" s="5">
        <v>86112.400000000009</v>
      </c>
    </row>
    <row r="8" spans="1:4" x14ac:dyDescent="0.25">
      <c r="A8" s="7" t="s">
        <v>9</v>
      </c>
      <c r="B8" s="8">
        <v>46011</v>
      </c>
      <c r="C8" s="9">
        <v>24</v>
      </c>
      <c r="D8" s="9">
        <v>14359.36</v>
      </c>
    </row>
    <row r="9" spans="1:4" x14ac:dyDescent="0.25">
      <c r="A9" s="7" t="s">
        <v>9</v>
      </c>
      <c r="B9" s="8">
        <v>46012</v>
      </c>
      <c r="C9" s="9">
        <v>34</v>
      </c>
      <c r="D9" s="9">
        <v>32785.239999999991</v>
      </c>
    </row>
    <row r="10" spans="1:4" x14ac:dyDescent="0.25">
      <c r="A10" s="7" t="s">
        <v>9</v>
      </c>
      <c r="B10" s="8">
        <v>46013</v>
      </c>
      <c r="C10" s="9">
        <v>78</v>
      </c>
      <c r="D10" s="9">
        <v>54127.26</v>
      </c>
    </row>
    <row r="11" spans="1:4" x14ac:dyDescent="0.25">
      <c r="A11" s="7" t="s">
        <v>9</v>
      </c>
      <c r="B11" s="8">
        <v>46014</v>
      </c>
      <c r="C11" s="9">
        <v>53</v>
      </c>
      <c r="D11" s="9">
        <v>51868.05999999999</v>
      </c>
    </row>
    <row r="12" spans="1:4" x14ac:dyDescent="0.25">
      <c r="A12" s="7" t="s">
        <v>9</v>
      </c>
      <c r="B12" s="8">
        <v>46015</v>
      </c>
      <c r="C12" s="9">
        <v>121</v>
      </c>
      <c r="D12" s="9">
        <v>70819.979000000021</v>
      </c>
    </row>
    <row r="13" spans="1:4" x14ac:dyDescent="0.25">
      <c r="A13" s="7" t="s">
        <v>9</v>
      </c>
      <c r="B13" s="8">
        <v>46016</v>
      </c>
      <c r="C13" s="9">
        <v>18</v>
      </c>
      <c r="D13" s="9">
        <v>14729.22</v>
      </c>
    </row>
    <row r="14" spans="1:4" x14ac:dyDescent="0.25">
      <c r="A14" s="16" t="s">
        <v>34</v>
      </c>
      <c r="B14" s="16"/>
      <c r="C14" s="10">
        <f>SUM(C2:C13)</f>
        <v>1570</v>
      </c>
      <c r="D14" s="10">
        <f>SUM(D2:D13)</f>
        <v>1278952.2590000001</v>
      </c>
    </row>
  </sheetData>
  <mergeCells count="1">
    <mergeCell ref="A14:B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A32" sqref="A32:B32"/>
    </sheetView>
  </sheetViews>
  <sheetFormatPr defaultRowHeight="13.2" x14ac:dyDescent="0.25"/>
  <cols>
    <col min="1" max="1" width="42.44140625" bestFit="1" customWidth="1"/>
    <col min="2" max="2" width="10.33203125" style="1" bestFit="1" customWidth="1"/>
    <col min="3" max="3" width="32" bestFit="1" customWidth="1"/>
    <col min="4" max="4" width="33.44140625" bestFit="1" customWidth="1"/>
  </cols>
  <sheetData>
    <row r="1" spans="1:4" x14ac:dyDescent="0.25">
      <c r="A1" s="6" t="s">
        <v>0</v>
      </c>
      <c r="B1" s="13" t="s">
        <v>1</v>
      </c>
      <c r="C1" s="6" t="s">
        <v>30</v>
      </c>
      <c r="D1" s="6" t="s">
        <v>27</v>
      </c>
    </row>
    <row r="2" spans="1:4" x14ac:dyDescent="0.25">
      <c r="A2" s="3" t="s">
        <v>21</v>
      </c>
      <c r="B2" s="4">
        <v>46011</v>
      </c>
      <c r="C2" s="5">
        <v>112</v>
      </c>
      <c r="D2" s="5">
        <v>36251.9</v>
      </c>
    </row>
    <row r="3" spans="1:4" x14ac:dyDescent="0.25">
      <c r="A3" s="3" t="s">
        <v>21</v>
      </c>
      <c r="B3" s="4">
        <v>46012</v>
      </c>
      <c r="C3" s="5">
        <v>94</v>
      </c>
      <c r="D3" s="5">
        <v>30590.080000000002</v>
      </c>
    </row>
    <row r="4" spans="1:4" x14ac:dyDescent="0.25">
      <c r="A4" s="3" t="s">
        <v>21</v>
      </c>
      <c r="B4" s="4">
        <v>46013</v>
      </c>
      <c r="C4" s="5">
        <v>76</v>
      </c>
      <c r="D4" s="5">
        <v>24884.059999999998</v>
      </c>
    </row>
    <row r="5" spans="1:4" x14ac:dyDescent="0.25">
      <c r="A5" s="3" t="s">
        <v>21</v>
      </c>
      <c r="B5" s="4">
        <v>46014</v>
      </c>
      <c r="C5" s="5">
        <v>80</v>
      </c>
      <c r="D5" s="5">
        <v>28498.06</v>
      </c>
    </row>
    <row r="6" spans="1:4" x14ac:dyDescent="0.25">
      <c r="A6" s="3" t="s">
        <v>21</v>
      </c>
      <c r="B6" s="4">
        <v>46015</v>
      </c>
      <c r="C6" s="5">
        <v>138</v>
      </c>
      <c r="D6" s="5">
        <v>47840.979999999996</v>
      </c>
    </row>
    <row r="7" spans="1:4" x14ac:dyDescent="0.25">
      <c r="A7" s="3" t="s">
        <v>21</v>
      </c>
      <c r="B7" s="4">
        <v>46016</v>
      </c>
      <c r="C7" s="5">
        <v>68</v>
      </c>
      <c r="D7" s="5">
        <v>24230.880000000001</v>
      </c>
    </row>
    <row r="8" spans="1:4" x14ac:dyDescent="0.25">
      <c r="A8" s="7" t="s">
        <v>22</v>
      </c>
      <c r="B8" s="8">
        <v>46011</v>
      </c>
      <c r="C8" s="9">
        <v>86</v>
      </c>
      <c r="D8" s="9">
        <v>27762.339999999997</v>
      </c>
    </row>
    <row r="9" spans="1:4" x14ac:dyDescent="0.25">
      <c r="A9" s="7" t="s">
        <v>22</v>
      </c>
      <c r="B9" s="8">
        <v>46012</v>
      </c>
      <c r="C9" s="9">
        <v>81</v>
      </c>
      <c r="D9" s="9">
        <v>26673.659999999996</v>
      </c>
    </row>
    <row r="10" spans="1:4" x14ac:dyDescent="0.25">
      <c r="A10" s="7" t="s">
        <v>22</v>
      </c>
      <c r="B10" s="8">
        <v>46013</v>
      </c>
      <c r="C10" s="9">
        <v>72</v>
      </c>
      <c r="D10" s="9">
        <v>24780.980000000003</v>
      </c>
    </row>
    <row r="11" spans="1:4" x14ac:dyDescent="0.25">
      <c r="A11" s="7" t="s">
        <v>22</v>
      </c>
      <c r="B11" s="8">
        <v>46014</v>
      </c>
      <c r="C11" s="9">
        <v>115</v>
      </c>
      <c r="D11" s="9">
        <v>37750.42</v>
      </c>
    </row>
    <row r="12" spans="1:4" x14ac:dyDescent="0.25">
      <c r="A12" s="7" t="s">
        <v>22</v>
      </c>
      <c r="B12" s="8">
        <v>46015</v>
      </c>
      <c r="C12" s="9">
        <v>230</v>
      </c>
      <c r="D12" s="9">
        <v>78661.139999999985</v>
      </c>
    </row>
    <row r="13" spans="1:4" x14ac:dyDescent="0.25">
      <c r="A13" s="7" t="s">
        <v>22</v>
      </c>
      <c r="B13" s="8">
        <v>46016</v>
      </c>
      <c r="C13" s="9">
        <v>95</v>
      </c>
      <c r="D13" s="9">
        <v>29006.579999999994</v>
      </c>
    </row>
    <row r="14" spans="1:4" x14ac:dyDescent="0.25">
      <c r="A14" s="3" t="s">
        <v>23</v>
      </c>
      <c r="B14" s="4">
        <v>46011</v>
      </c>
      <c r="C14" s="5">
        <v>22</v>
      </c>
      <c r="D14" s="5">
        <v>6190.3600000000006</v>
      </c>
    </row>
    <row r="15" spans="1:4" x14ac:dyDescent="0.25">
      <c r="A15" s="3" t="s">
        <v>23</v>
      </c>
      <c r="B15" s="4">
        <v>46012</v>
      </c>
      <c r="C15" s="5">
        <v>32</v>
      </c>
      <c r="D15" s="5">
        <v>14607.62</v>
      </c>
    </row>
    <row r="16" spans="1:4" x14ac:dyDescent="0.25">
      <c r="A16" s="3" t="s">
        <v>23</v>
      </c>
      <c r="B16" s="4">
        <v>46013</v>
      </c>
      <c r="C16" s="5">
        <v>68</v>
      </c>
      <c r="D16" s="5">
        <v>26210.920000000002</v>
      </c>
    </row>
    <row r="17" spans="1:4" x14ac:dyDescent="0.25">
      <c r="A17" s="3" t="s">
        <v>23</v>
      </c>
      <c r="B17" s="4">
        <v>46014</v>
      </c>
      <c r="C17" s="5">
        <v>79</v>
      </c>
      <c r="D17" s="5">
        <v>31683.66</v>
      </c>
    </row>
    <row r="18" spans="1:4" x14ac:dyDescent="0.25">
      <c r="A18" s="3" t="s">
        <v>23</v>
      </c>
      <c r="B18" s="4">
        <v>46015</v>
      </c>
      <c r="C18" s="5">
        <v>105</v>
      </c>
      <c r="D18" s="5">
        <v>45234.680000000008</v>
      </c>
    </row>
    <row r="19" spans="1:4" x14ac:dyDescent="0.25">
      <c r="A19" s="3" t="s">
        <v>23</v>
      </c>
      <c r="B19" s="4">
        <v>46016</v>
      </c>
      <c r="C19" s="5">
        <v>63</v>
      </c>
      <c r="D19" s="5">
        <v>26692.12</v>
      </c>
    </row>
    <row r="20" spans="1:4" x14ac:dyDescent="0.25">
      <c r="A20" s="7" t="s">
        <v>24</v>
      </c>
      <c r="B20" s="8">
        <v>46011</v>
      </c>
      <c r="C20" s="9">
        <v>110</v>
      </c>
      <c r="D20" s="9">
        <v>72950.62000000001</v>
      </c>
    </row>
    <row r="21" spans="1:4" x14ac:dyDescent="0.25">
      <c r="A21" s="7" t="s">
        <v>24</v>
      </c>
      <c r="B21" s="8">
        <v>46012</v>
      </c>
      <c r="C21" s="9">
        <v>120</v>
      </c>
      <c r="D21" s="9">
        <v>78161.240000000005</v>
      </c>
    </row>
    <row r="22" spans="1:4" x14ac:dyDescent="0.25">
      <c r="A22" s="7" t="s">
        <v>24</v>
      </c>
      <c r="B22" s="8">
        <v>46013</v>
      </c>
      <c r="C22" s="9">
        <v>135</v>
      </c>
      <c r="D22" s="9">
        <v>79896.880000000019</v>
      </c>
    </row>
    <row r="23" spans="1:4" x14ac:dyDescent="0.25">
      <c r="A23" s="7" t="s">
        <v>24</v>
      </c>
      <c r="B23" s="8">
        <v>46014</v>
      </c>
      <c r="C23" s="9">
        <v>120</v>
      </c>
      <c r="D23" s="9">
        <v>75778.940000000017</v>
      </c>
    </row>
    <row r="24" spans="1:4" x14ac:dyDescent="0.25">
      <c r="A24" s="7" t="s">
        <v>24</v>
      </c>
      <c r="B24" s="8">
        <v>46015</v>
      </c>
      <c r="C24" s="9">
        <v>236</v>
      </c>
      <c r="D24" s="9">
        <v>138266.06</v>
      </c>
    </row>
    <row r="25" spans="1:4" x14ac:dyDescent="0.25">
      <c r="A25" s="7" t="s">
        <v>24</v>
      </c>
      <c r="B25" s="8">
        <v>46016</v>
      </c>
      <c r="C25" s="9">
        <v>129</v>
      </c>
      <c r="D25" s="9">
        <v>67185.759999999995</v>
      </c>
    </row>
    <row r="26" spans="1:4" x14ac:dyDescent="0.25">
      <c r="A26" s="3" t="s">
        <v>25</v>
      </c>
      <c r="B26" s="4">
        <v>46011</v>
      </c>
      <c r="C26" s="5">
        <v>82</v>
      </c>
      <c r="D26" s="5">
        <v>35188.120000000003</v>
      </c>
    </row>
    <row r="27" spans="1:4" x14ac:dyDescent="0.25">
      <c r="A27" s="3" t="s">
        <v>25</v>
      </c>
      <c r="B27" s="4">
        <v>46012</v>
      </c>
      <c r="C27" s="5">
        <v>91</v>
      </c>
      <c r="D27" s="5">
        <v>37372.58</v>
      </c>
    </row>
    <row r="28" spans="1:4" x14ac:dyDescent="0.25">
      <c r="A28" s="3" t="s">
        <v>25</v>
      </c>
      <c r="B28" s="4">
        <v>46013</v>
      </c>
      <c r="C28" s="5">
        <v>61</v>
      </c>
      <c r="D28" s="5">
        <v>27987.620000000003</v>
      </c>
    </row>
    <row r="29" spans="1:4" x14ac:dyDescent="0.25">
      <c r="A29" s="3" t="s">
        <v>25</v>
      </c>
      <c r="B29" s="4">
        <v>46014</v>
      </c>
      <c r="C29" s="5">
        <v>106</v>
      </c>
      <c r="D29" s="5">
        <v>40094.800000000003</v>
      </c>
    </row>
    <row r="30" spans="1:4" x14ac:dyDescent="0.25">
      <c r="A30" s="3" t="s">
        <v>25</v>
      </c>
      <c r="B30" s="4">
        <v>46015</v>
      </c>
      <c r="C30" s="5">
        <v>166</v>
      </c>
      <c r="D30" s="5">
        <v>74960.440000000017</v>
      </c>
    </row>
    <row r="31" spans="1:4" x14ac:dyDescent="0.25">
      <c r="A31" s="3" t="s">
        <v>25</v>
      </c>
      <c r="B31" s="4">
        <v>46016</v>
      </c>
      <c r="C31" s="5">
        <v>103</v>
      </c>
      <c r="D31" s="5">
        <v>46059.16</v>
      </c>
    </row>
    <row r="32" spans="1:4" x14ac:dyDescent="0.25">
      <c r="A32" s="17" t="s">
        <v>34</v>
      </c>
      <c r="B32" s="17"/>
      <c r="C32" s="14">
        <f>SUM(C2:C31)</f>
        <v>3075</v>
      </c>
      <c r="D32" s="14">
        <f>SUM(D2:D31)</f>
        <v>1341452.6600000001</v>
      </c>
    </row>
  </sheetData>
  <mergeCells count="1">
    <mergeCell ref="A32:B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YOY – Like-to-Like Stores (LFL)</vt:lpstr>
      <vt:lpstr>YOY OF HO</vt:lpstr>
      <vt:lpstr>Closed Stores</vt:lpstr>
      <vt:lpstr>New Stores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2025-12-27T05:24:03Z</dcterms:created>
  <dcterms:modified xsi:type="dcterms:W3CDTF">2025-12-27T06:36:39Z</dcterms:modified>
  <cp:category/>
</cp:coreProperties>
</file>